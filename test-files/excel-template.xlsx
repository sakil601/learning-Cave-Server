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 codeName="{DD97A8EA-9A9A-E61F-A557-7D5A7D7259CE}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 Baraka Fish\Desktop\Anas Fish Store\"/>
    </mc:Choice>
  </mc:AlternateContent>
  <xr:revisionPtr revIDLastSave="0" documentId="13_ncr:1_{C6BAA93D-38E3-4F40-BEB5-372A54FAF132}" xr6:coauthVersionLast="47" xr6:coauthVersionMax="47" xr10:uidLastSave="{00000000-0000-0000-0000-000000000000}"/>
  <bookViews>
    <workbookView xWindow="0" yWindow="0" windowWidth="28800" windowHeight="15600" activeTab="7" xr2:uid="{00000000-000D-0000-FFFF-FFFF00000000}"/>
  </bookViews>
  <sheets>
    <sheet name="Purchase Entry" sheetId="4" r:id="rId1"/>
    <sheet name="Purchase Log" sheetId="5" r:id="rId2"/>
    <sheet name="Stock" sheetId="1" r:id="rId3"/>
    <sheet name="Sales Entry" sheetId="2" r:id="rId4"/>
    <sheet name="Sales Log" sheetId="3" r:id="rId5"/>
    <sheet name="Daily Summary" sheetId="6" r:id="rId6"/>
    <sheet name="Dashboard" sheetId="7" r:id="rId7"/>
    <sheet name="Cash Hisab" sheetId="10" r:id="rId8"/>
    <sheet name="_Lists" sheetId="8" state="hidden" r:id="rId9"/>
  </sheets>
  <definedNames>
    <definedName name="_xlnm._FilterDatabase" localSheetId="4" hidden="1">'Sales Log'!$A$2:$H$448</definedName>
    <definedName name="_xlnm._FilterDatabase" localSheetId="2" hidden="1">Stock!$A$4:$J$21</definedName>
  </definedNames>
  <calcPr calcId="191029"/>
</workbook>
</file>

<file path=xl/calcChain.xml><?xml version="1.0" encoding="utf-8"?>
<calcChain xmlns="http://schemas.openxmlformats.org/spreadsheetml/2006/main">
  <c r="G6" i="10" l="1"/>
  <c r="L7" i="10"/>
  <c r="O17" i="10"/>
  <c r="O5" i="5"/>
  <c r="K2" i="5"/>
  <c r="F6" i="1"/>
  <c r="F7" i="1"/>
  <c r="G7" i="1" s="1"/>
  <c r="H7" i="1" s="1"/>
  <c r="F8" i="1"/>
  <c r="G8" i="1" s="1"/>
  <c r="F9" i="1"/>
  <c r="G9" i="1" s="1"/>
  <c r="H9" i="1" s="1"/>
  <c r="F10" i="1"/>
  <c r="G10" i="1" s="1"/>
  <c r="H10" i="1" s="1"/>
  <c r="F11" i="1"/>
  <c r="G11" i="1" s="1"/>
  <c r="H11" i="1" s="1"/>
  <c r="F12" i="1"/>
  <c r="G12" i="1" s="1"/>
  <c r="H12" i="1" s="1"/>
  <c r="F13" i="1"/>
  <c r="G13" i="1" s="1"/>
  <c r="F14" i="1"/>
  <c r="G14" i="1" s="1"/>
  <c r="H14" i="1" s="1"/>
  <c r="F15" i="1"/>
  <c r="G15" i="1" s="1"/>
  <c r="H15" i="1" s="1"/>
  <c r="F16" i="1"/>
  <c r="G16" i="1" s="1"/>
  <c r="F17" i="1"/>
  <c r="G17" i="1" s="1"/>
  <c r="F18" i="1"/>
  <c r="G18" i="1" s="1"/>
  <c r="F19" i="1"/>
  <c r="G19" i="1" s="1"/>
  <c r="H19" i="1" s="1"/>
  <c r="F20" i="1"/>
  <c r="G20" i="1" s="1"/>
  <c r="H20" i="1" s="1"/>
  <c r="F21" i="1"/>
  <c r="G21" i="1" s="1"/>
  <c r="H21" i="1" s="1"/>
  <c r="F22" i="1"/>
  <c r="G22" i="1" s="1"/>
  <c r="H22" i="1" s="1"/>
  <c r="F23" i="1"/>
  <c r="G23" i="1" s="1"/>
  <c r="H23" i="1" s="1"/>
  <c r="F24" i="1"/>
  <c r="G24" i="1" s="1"/>
  <c r="H24" i="1" s="1"/>
  <c r="F25" i="1"/>
  <c r="G25" i="1" s="1"/>
  <c r="H25" i="1" s="1"/>
  <c r="F26" i="1"/>
  <c r="G26" i="1" s="1"/>
  <c r="H26" i="1" s="1"/>
  <c r="F27" i="1"/>
  <c r="G27" i="1" s="1"/>
  <c r="H27" i="1" s="1"/>
  <c r="E5" i="2"/>
  <c r="E6" i="4"/>
  <c r="C136" i="1"/>
  <c r="F130" i="1"/>
  <c r="G130" i="1" s="1"/>
  <c r="E130" i="1"/>
  <c r="F129" i="1"/>
  <c r="G129" i="1" s="1"/>
  <c r="E129" i="1"/>
  <c r="F128" i="1"/>
  <c r="G128" i="1" s="1"/>
  <c r="E128" i="1"/>
  <c r="F127" i="1"/>
  <c r="G127" i="1" s="1"/>
  <c r="E127" i="1"/>
  <c r="F126" i="1"/>
  <c r="G126" i="1" s="1"/>
  <c r="E126" i="1"/>
  <c r="F125" i="1"/>
  <c r="G125" i="1" s="1"/>
  <c r="E125" i="1"/>
  <c r="F124" i="1"/>
  <c r="G124" i="1" s="1"/>
  <c r="E124" i="1"/>
  <c r="F123" i="1"/>
  <c r="G123" i="1" s="1"/>
  <c r="E123" i="1"/>
  <c r="F122" i="1"/>
  <c r="G122" i="1" s="1"/>
  <c r="E122" i="1"/>
  <c r="F121" i="1"/>
  <c r="G121" i="1" s="1"/>
  <c r="E121" i="1"/>
  <c r="F120" i="1"/>
  <c r="G120" i="1" s="1"/>
  <c r="E120" i="1"/>
  <c r="F119" i="1"/>
  <c r="G119" i="1" s="1"/>
  <c r="E119" i="1"/>
  <c r="F118" i="1"/>
  <c r="G118" i="1" s="1"/>
  <c r="E118" i="1"/>
  <c r="F117" i="1"/>
  <c r="G117" i="1" s="1"/>
  <c r="E117" i="1"/>
  <c r="F116" i="1"/>
  <c r="G116" i="1" s="1"/>
  <c r="E116" i="1"/>
  <c r="F5" i="1"/>
  <c r="G5" i="1" s="1"/>
  <c r="H5" i="1" s="1"/>
  <c r="G6" i="1"/>
  <c r="B11" i="2"/>
  <c r="D6" i="6"/>
  <c r="E6" i="6"/>
  <c r="C31" i="1"/>
  <c r="E4" i="7"/>
  <c r="E499" i="6"/>
  <c r="D499" i="6"/>
  <c r="C499" i="6"/>
  <c r="B499" i="6"/>
  <c r="F499" i="6" s="1"/>
  <c r="E498" i="6"/>
  <c r="D498" i="6"/>
  <c r="C498" i="6"/>
  <c r="B498" i="6"/>
  <c r="F498" i="6" s="1"/>
  <c r="E497" i="6"/>
  <c r="D497" i="6"/>
  <c r="C497" i="6"/>
  <c r="B497" i="6"/>
  <c r="F497" i="6" s="1"/>
  <c r="E496" i="6"/>
  <c r="D496" i="6"/>
  <c r="C496" i="6"/>
  <c r="B496" i="6"/>
  <c r="F496" i="6" s="1"/>
  <c r="E495" i="6"/>
  <c r="D495" i="6"/>
  <c r="C495" i="6"/>
  <c r="B495" i="6"/>
  <c r="F495" i="6" s="1"/>
  <c r="E494" i="6"/>
  <c r="D494" i="6"/>
  <c r="C494" i="6"/>
  <c r="B494" i="6"/>
  <c r="F494" i="6" s="1"/>
  <c r="E493" i="6"/>
  <c r="D493" i="6"/>
  <c r="C493" i="6"/>
  <c r="B493" i="6"/>
  <c r="F493" i="6" s="1"/>
  <c r="E492" i="6"/>
  <c r="D492" i="6"/>
  <c r="C492" i="6"/>
  <c r="B492" i="6"/>
  <c r="F492" i="6" s="1"/>
  <c r="E491" i="6"/>
  <c r="D491" i="6"/>
  <c r="C491" i="6"/>
  <c r="B491" i="6"/>
  <c r="F491" i="6" s="1"/>
  <c r="E490" i="6"/>
  <c r="D490" i="6"/>
  <c r="C490" i="6"/>
  <c r="B490" i="6"/>
  <c r="F490" i="6" s="1"/>
  <c r="E489" i="6"/>
  <c r="D489" i="6"/>
  <c r="C489" i="6"/>
  <c r="B489" i="6"/>
  <c r="F489" i="6" s="1"/>
  <c r="E488" i="6"/>
  <c r="D488" i="6"/>
  <c r="C488" i="6"/>
  <c r="B488" i="6"/>
  <c r="F488" i="6" s="1"/>
  <c r="E487" i="6"/>
  <c r="D487" i="6"/>
  <c r="C487" i="6"/>
  <c r="B487" i="6"/>
  <c r="F487" i="6" s="1"/>
  <c r="E486" i="6"/>
  <c r="D486" i="6"/>
  <c r="C486" i="6"/>
  <c r="B486" i="6"/>
  <c r="F486" i="6" s="1"/>
  <c r="E485" i="6"/>
  <c r="D485" i="6"/>
  <c r="C485" i="6"/>
  <c r="B485" i="6"/>
  <c r="F485" i="6" s="1"/>
  <c r="E484" i="6"/>
  <c r="D484" i="6"/>
  <c r="C484" i="6"/>
  <c r="B484" i="6"/>
  <c r="F484" i="6" s="1"/>
  <c r="E483" i="6"/>
  <c r="D483" i="6"/>
  <c r="C483" i="6"/>
  <c r="B483" i="6"/>
  <c r="F483" i="6" s="1"/>
  <c r="E482" i="6"/>
  <c r="D482" i="6"/>
  <c r="C482" i="6"/>
  <c r="B482" i="6"/>
  <c r="F482" i="6" s="1"/>
  <c r="E481" i="6"/>
  <c r="D481" i="6"/>
  <c r="C481" i="6"/>
  <c r="B481" i="6"/>
  <c r="F481" i="6" s="1"/>
  <c r="E480" i="6"/>
  <c r="D480" i="6"/>
  <c r="C480" i="6"/>
  <c r="B480" i="6"/>
  <c r="F480" i="6" s="1"/>
  <c r="E479" i="6"/>
  <c r="D479" i="6"/>
  <c r="C479" i="6"/>
  <c r="B479" i="6"/>
  <c r="F479" i="6" s="1"/>
  <c r="E478" i="6"/>
  <c r="D478" i="6"/>
  <c r="C478" i="6"/>
  <c r="B478" i="6"/>
  <c r="F478" i="6" s="1"/>
  <c r="E477" i="6"/>
  <c r="D477" i="6"/>
  <c r="C477" i="6"/>
  <c r="B477" i="6"/>
  <c r="F477" i="6" s="1"/>
  <c r="E476" i="6"/>
  <c r="D476" i="6"/>
  <c r="C476" i="6"/>
  <c r="B476" i="6"/>
  <c r="F476" i="6" s="1"/>
  <c r="E475" i="6"/>
  <c r="D475" i="6"/>
  <c r="C475" i="6"/>
  <c r="B475" i="6"/>
  <c r="F475" i="6" s="1"/>
  <c r="E474" i="6"/>
  <c r="D474" i="6"/>
  <c r="C474" i="6"/>
  <c r="B474" i="6"/>
  <c r="F474" i="6" s="1"/>
  <c r="E473" i="6"/>
  <c r="D473" i="6"/>
  <c r="C473" i="6"/>
  <c r="B473" i="6"/>
  <c r="F473" i="6" s="1"/>
  <c r="E472" i="6"/>
  <c r="D472" i="6"/>
  <c r="C472" i="6"/>
  <c r="B472" i="6"/>
  <c r="F472" i="6" s="1"/>
  <c r="E471" i="6"/>
  <c r="D471" i="6"/>
  <c r="C471" i="6"/>
  <c r="B471" i="6"/>
  <c r="F471" i="6" s="1"/>
  <c r="E470" i="6"/>
  <c r="D470" i="6"/>
  <c r="C470" i="6"/>
  <c r="B470" i="6"/>
  <c r="F470" i="6" s="1"/>
  <c r="E469" i="6"/>
  <c r="D469" i="6"/>
  <c r="C469" i="6"/>
  <c r="B469" i="6"/>
  <c r="F469" i="6" s="1"/>
  <c r="E468" i="6"/>
  <c r="D468" i="6"/>
  <c r="C468" i="6"/>
  <c r="B468" i="6"/>
  <c r="F468" i="6" s="1"/>
  <c r="E467" i="6"/>
  <c r="D467" i="6"/>
  <c r="C467" i="6"/>
  <c r="B467" i="6"/>
  <c r="F467" i="6" s="1"/>
  <c r="E466" i="6"/>
  <c r="D466" i="6"/>
  <c r="C466" i="6"/>
  <c r="B466" i="6"/>
  <c r="F466" i="6" s="1"/>
  <c r="E465" i="6"/>
  <c r="D465" i="6"/>
  <c r="C465" i="6"/>
  <c r="B465" i="6"/>
  <c r="F465" i="6" s="1"/>
  <c r="E464" i="6"/>
  <c r="D464" i="6"/>
  <c r="C464" i="6"/>
  <c r="B464" i="6"/>
  <c r="F464" i="6" s="1"/>
  <c r="E463" i="6"/>
  <c r="D463" i="6"/>
  <c r="C463" i="6"/>
  <c r="B463" i="6"/>
  <c r="F463" i="6" s="1"/>
  <c r="E462" i="6"/>
  <c r="D462" i="6"/>
  <c r="C462" i="6"/>
  <c r="B462" i="6"/>
  <c r="F462" i="6" s="1"/>
  <c r="E461" i="6"/>
  <c r="D461" i="6"/>
  <c r="C461" i="6"/>
  <c r="B461" i="6"/>
  <c r="F461" i="6" s="1"/>
  <c r="E460" i="6"/>
  <c r="D460" i="6"/>
  <c r="C460" i="6"/>
  <c r="B460" i="6"/>
  <c r="F460" i="6" s="1"/>
  <c r="E459" i="6"/>
  <c r="D459" i="6"/>
  <c r="C459" i="6"/>
  <c r="B459" i="6"/>
  <c r="F459" i="6" s="1"/>
  <c r="E458" i="6"/>
  <c r="D458" i="6"/>
  <c r="C458" i="6"/>
  <c r="B458" i="6"/>
  <c r="F458" i="6" s="1"/>
  <c r="E457" i="6"/>
  <c r="D457" i="6"/>
  <c r="C457" i="6"/>
  <c r="B457" i="6"/>
  <c r="F457" i="6" s="1"/>
  <c r="E456" i="6"/>
  <c r="D456" i="6"/>
  <c r="C456" i="6"/>
  <c r="B456" i="6"/>
  <c r="F456" i="6" s="1"/>
  <c r="E455" i="6"/>
  <c r="D455" i="6"/>
  <c r="C455" i="6"/>
  <c r="B455" i="6"/>
  <c r="F455" i="6" s="1"/>
  <c r="E454" i="6"/>
  <c r="D454" i="6"/>
  <c r="C454" i="6"/>
  <c r="B454" i="6"/>
  <c r="F454" i="6" s="1"/>
  <c r="E453" i="6"/>
  <c r="D453" i="6"/>
  <c r="C453" i="6"/>
  <c r="B453" i="6"/>
  <c r="F453" i="6" s="1"/>
  <c r="E452" i="6"/>
  <c r="D452" i="6"/>
  <c r="C452" i="6"/>
  <c r="B452" i="6"/>
  <c r="F452" i="6" s="1"/>
  <c r="E451" i="6"/>
  <c r="D451" i="6"/>
  <c r="C451" i="6"/>
  <c r="B451" i="6"/>
  <c r="F451" i="6" s="1"/>
  <c r="E450" i="6"/>
  <c r="D450" i="6"/>
  <c r="C450" i="6"/>
  <c r="B450" i="6"/>
  <c r="F450" i="6" s="1"/>
  <c r="E449" i="6"/>
  <c r="D449" i="6"/>
  <c r="C449" i="6"/>
  <c r="B449" i="6"/>
  <c r="F449" i="6" s="1"/>
  <c r="E448" i="6"/>
  <c r="D448" i="6"/>
  <c r="C448" i="6"/>
  <c r="B448" i="6"/>
  <c r="F448" i="6" s="1"/>
  <c r="E447" i="6"/>
  <c r="D447" i="6"/>
  <c r="C447" i="6"/>
  <c r="B447" i="6"/>
  <c r="F447" i="6" s="1"/>
  <c r="E446" i="6"/>
  <c r="D446" i="6"/>
  <c r="C446" i="6"/>
  <c r="B446" i="6"/>
  <c r="F446" i="6" s="1"/>
  <c r="E445" i="6"/>
  <c r="D445" i="6"/>
  <c r="C445" i="6"/>
  <c r="B445" i="6"/>
  <c r="F445" i="6" s="1"/>
  <c r="E444" i="6"/>
  <c r="D444" i="6"/>
  <c r="C444" i="6"/>
  <c r="B444" i="6"/>
  <c r="F444" i="6" s="1"/>
  <c r="E443" i="6"/>
  <c r="D443" i="6"/>
  <c r="C443" i="6"/>
  <c r="B443" i="6"/>
  <c r="F443" i="6" s="1"/>
  <c r="E442" i="6"/>
  <c r="D442" i="6"/>
  <c r="C442" i="6"/>
  <c r="B442" i="6"/>
  <c r="F442" i="6" s="1"/>
  <c r="E441" i="6"/>
  <c r="D441" i="6"/>
  <c r="C441" i="6"/>
  <c r="B441" i="6"/>
  <c r="F441" i="6" s="1"/>
  <c r="E440" i="6"/>
  <c r="D440" i="6"/>
  <c r="C440" i="6"/>
  <c r="B440" i="6"/>
  <c r="F440" i="6" s="1"/>
  <c r="E439" i="6"/>
  <c r="D439" i="6"/>
  <c r="C439" i="6"/>
  <c r="B439" i="6"/>
  <c r="F439" i="6" s="1"/>
  <c r="E438" i="6"/>
  <c r="D438" i="6"/>
  <c r="C438" i="6"/>
  <c r="B438" i="6"/>
  <c r="F438" i="6" s="1"/>
  <c r="E437" i="6"/>
  <c r="D437" i="6"/>
  <c r="C437" i="6"/>
  <c r="B437" i="6"/>
  <c r="F437" i="6" s="1"/>
  <c r="E436" i="6"/>
  <c r="D436" i="6"/>
  <c r="C436" i="6"/>
  <c r="B436" i="6"/>
  <c r="F436" i="6" s="1"/>
  <c r="E435" i="6"/>
  <c r="D435" i="6"/>
  <c r="C435" i="6"/>
  <c r="B435" i="6"/>
  <c r="F435" i="6" s="1"/>
  <c r="E434" i="6"/>
  <c r="D434" i="6"/>
  <c r="C434" i="6"/>
  <c r="B434" i="6"/>
  <c r="F434" i="6" s="1"/>
  <c r="E433" i="6"/>
  <c r="D433" i="6"/>
  <c r="C433" i="6"/>
  <c r="B433" i="6"/>
  <c r="F433" i="6" s="1"/>
  <c r="E432" i="6"/>
  <c r="D432" i="6"/>
  <c r="C432" i="6"/>
  <c r="B432" i="6"/>
  <c r="F432" i="6" s="1"/>
  <c r="E431" i="6"/>
  <c r="D431" i="6"/>
  <c r="C431" i="6"/>
  <c r="B431" i="6"/>
  <c r="F431" i="6" s="1"/>
  <c r="E430" i="6"/>
  <c r="D430" i="6"/>
  <c r="C430" i="6"/>
  <c r="B430" i="6"/>
  <c r="F430" i="6" s="1"/>
  <c r="E429" i="6"/>
  <c r="D429" i="6"/>
  <c r="C429" i="6"/>
  <c r="B429" i="6"/>
  <c r="F429" i="6" s="1"/>
  <c r="E428" i="6"/>
  <c r="D428" i="6"/>
  <c r="C428" i="6"/>
  <c r="B428" i="6"/>
  <c r="F428" i="6" s="1"/>
  <c r="E427" i="6"/>
  <c r="D427" i="6"/>
  <c r="C427" i="6"/>
  <c r="B427" i="6"/>
  <c r="F427" i="6" s="1"/>
  <c r="E426" i="6"/>
  <c r="D426" i="6"/>
  <c r="C426" i="6"/>
  <c r="B426" i="6"/>
  <c r="F426" i="6" s="1"/>
  <c r="E425" i="6"/>
  <c r="D425" i="6"/>
  <c r="C425" i="6"/>
  <c r="B425" i="6"/>
  <c r="F425" i="6" s="1"/>
  <c r="E424" i="6"/>
  <c r="D424" i="6"/>
  <c r="C424" i="6"/>
  <c r="B424" i="6"/>
  <c r="F424" i="6" s="1"/>
  <c r="E423" i="6"/>
  <c r="D423" i="6"/>
  <c r="C423" i="6"/>
  <c r="B423" i="6"/>
  <c r="F423" i="6" s="1"/>
  <c r="E422" i="6"/>
  <c r="D422" i="6"/>
  <c r="C422" i="6"/>
  <c r="B422" i="6"/>
  <c r="F422" i="6" s="1"/>
  <c r="E421" i="6"/>
  <c r="D421" i="6"/>
  <c r="C421" i="6"/>
  <c r="B421" i="6"/>
  <c r="F421" i="6" s="1"/>
  <c r="E420" i="6"/>
  <c r="D420" i="6"/>
  <c r="C420" i="6"/>
  <c r="B420" i="6"/>
  <c r="F420" i="6" s="1"/>
  <c r="E419" i="6"/>
  <c r="D419" i="6"/>
  <c r="C419" i="6"/>
  <c r="B419" i="6"/>
  <c r="F419" i="6" s="1"/>
  <c r="E418" i="6"/>
  <c r="D418" i="6"/>
  <c r="C418" i="6"/>
  <c r="B418" i="6"/>
  <c r="F418" i="6" s="1"/>
  <c r="E417" i="6"/>
  <c r="D417" i="6"/>
  <c r="C417" i="6"/>
  <c r="B417" i="6"/>
  <c r="F417" i="6" s="1"/>
  <c r="E416" i="6"/>
  <c r="D416" i="6"/>
  <c r="C416" i="6"/>
  <c r="B416" i="6"/>
  <c r="F416" i="6" s="1"/>
  <c r="E415" i="6"/>
  <c r="D415" i="6"/>
  <c r="C415" i="6"/>
  <c r="B415" i="6"/>
  <c r="F415" i="6" s="1"/>
  <c r="E414" i="6"/>
  <c r="D414" i="6"/>
  <c r="C414" i="6"/>
  <c r="B414" i="6"/>
  <c r="F414" i="6" s="1"/>
  <c r="E413" i="6"/>
  <c r="D413" i="6"/>
  <c r="C413" i="6"/>
  <c r="B413" i="6"/>
  <c r="F413" i="6" s="1"/>
  <c r="E412" i="6"/>
  <c r="D412" i="6"/>
  <c r="C412" i="6"/>
  <c r="B412" i="6"/>
  <c r="F412" i="6" s="1"/>
  <c r="E411" i="6"/>
  <c r="D411" i="6"/>
  <c r="C411" i="6"/>
  <c r="B411" i="6"/>
  <c r="F411" i="6" s="1"/>
  <c r="E410" i="6"/>
  <c r="D410" i="6"/>
  <c r="C410" i="6"/>
  <c r="B410" i="6"/>
  <c r="F410" i="6" s="1"/>
  <c r="E409" i="6"/>
  <c r="D409" i="6"/>
  <c r="C409" i="6"/>
  <c r="B409" i="6"/>
  <c r="F409" i="6" s="1"/>
  <c r="E408" i="6"/>
  <c r="D408" i="6"/>
  <c r="C408" i="6"/>
  <c r="B408" i="6"/>
  <c r="F408" i="6" s="1"/>
  <c r="E407" i="6"/>
  <c r="D407" i="6"/>
  <c r="C407" i="6"/>
  <c r="B407" i="6"/>
  <c r="F407" i="6" s="1"/>
  <c r="E406" i="6"/>
  <c r="D406" i="6"/>
  <c r="C406" i="6"/>
  <c r="B406" i="6"/>
  <c r="F406" i="6" s="1"/>
  <c r="E405" i="6"/>
  <c r="D405" i="6"/>
  <c r="C405" i="6"/>
  <c r="B405" i="6"/>
  <c r="F405" i="6" s="1"/>
  <c r="E404" i="6"/>
  <c r="D404" i="6"/>
  <c r="C404" i="6"/>
  <c r="B404" i="6"/>
  <c r="F404" i="6" s="1"/>
  <c r="E403" i="6"/>
  <c r="D403" i="6"/>
  <c r="C403" i="6"/>
  <c r="B403" i="6"/>
  <c r="F403" i="6" s="1"/>
  <c r="E402" i="6"/>
  <c r="D402" i="6"/>
  <c r="C402" i="6"/>
  <c r="B402" i="6"/>
  <c r="F402" i="6" s="1"/>
  <c r="E401" i="6"/>
  <c r="D401" i="6"/>
  <c r="C401" i="6"/>
  <c r="B401" i="6"/>
  <c r="F401" i="6" s="1"/>
  <c r="E400" i="6"/>
  <c r="D400" i="6"/>
  <c r="C400" i="6"/>
  <c r="B400" i="6"/>
  <c r="F400" i="6" s="1"/>
  <c r="E399" i="6"/>
  <c r="D399" i="6"/>
  <c r="C399" i="6"/>
  <c r="B399" i="6"/>
  <c r="F399" i="6" s="1"/>
  <c r="E398" i="6"/>
  <c r="D398" i="6"/>
  <c r="C398" i="6"/>
  <c r="B398" i="6"/>
  <c r="F398" i="6" s="1"/>
  <c r="E397" i="6"/>
  <c r="D397" i="6"/>
  <c r="C397" i="6"/>
  <c r="B397" i="6"/>
  <c r="F397" i="6" s="1"/>
  <c r="E396" i="6"/>
  <c r="D396" i="6"/>
  <c r="C396" i="6"/>
  <c r="B396" i="6"/>
  <c r="F396" i="6" s="1"/>
  <c r="E395" i="6"/>
  <c r="D395" i="6"/>
  <c r="C395" i="6"/>
  <c r="B395" i="6"/>
  <c r="F395" i="6" s="1"/>
  <c r="E394" i="6"/>
  <c r="D394" i="6"/>
  <c r="C394" i="6"/>
  <c r="B394" i="6"/>
  <c r="F394" i="6" s="1"/>
  <c r="E393" i="6"/>
  <c r="D393" i="6"/>
  <c r="C393" i="6"/>
  <c r="B393" i="6"/>
  <c r="F393" i="6" s="1"/>
  <c r="E392" i="6"/>
  <c r="D392" i="6"/>
  <c r="C392" i="6"/>
  <c r="B392" i="6"/>
  <c r="F392" i="6" s="1"/>
  <c r="E391" i="6"/>
  <c r="D391" i="6"/>
  <c r="C391" i="6"/>
  <c r="B391" i="6"/>
  <c r="F391" i="6" s="1"/>
  <c r="E390" i="6"/>
  <c r="D390" i="6"/>
  <c r="C390" i="6"/>
  <c r="B390" i="6"/>
  <c r="F390" i="6" s="1"/>
  <c r="E389" i="6"/>
  <c r="D389" i="6"/>
  <c r="C389" i="6"/>
  <c r="B389" i="6"/>
  <c r="F389" i="6" s="1"/>
  <c r="E388" i="6"/>
  <c r="D388" i="6"/>
  <c r="C388" i="6"/>
  <c r="B388" i="6"/>
  <c r="F388" i="6" s="1"/>
  <c r="E387" i="6"/>
  <c r="D387" i="6"/>
  <c r="C387" i="6"/>
  <c r="B387" i="6"/>
  <c r="F387" i="6" s="1"/>
  <c r="E386" i="6"/>
  <c r="D386" i="6"/>
  <c r="C386" i="6"/>
  <c r="B386" i="6"/>
  <c r="F386" i="6" s="1"/>
  <c r="E385" i="6"/>
  <c r="D385" i="6"/>
  <c r="C385" i="6"/>
  <c r="B385" i="6"/>
  <c r="F385" i="6" s="1"/>
  <c r="E384" i="6"/>
  <c r="D384" i="6"/>
  <c r="C384" i="6"/>
  <c r="B384" i="6"/>
  <c r="F384" i="6" s="1"/>
  <c r="E383" i="6"/>
  <c r="D383" i="6"/>
  <c r="C383" i="6"/>
  <c r="B383" i="6"/>
  <c r="F383" i="6" s="1"/>
  <c r="E382" i="6"/>
  <c r="D382" i="6"/>
  <c r="C382" i="6"/>
  <c r="B382" i="6"/>
  <c r="F382" i="6" s="1"/>
  <c r="E381" i="6"/>
  <c r="D381" i="6"/>
  <c r="C381" i="6"/>
  <c r="B381" i="6"/>
  <c r="F381" i="6" s="1"/>
  <c r="E380" i="6"/>
  <c r="D380" i="6"/>
  <c r="C380" i="6"/>
  <c r="B380" i="6"/>
  <c r="F380" i="6" s="1"/>
  <c r="E379" i="6"/>
  <c r="D379" i="6"/>
  <c r="C379" i="6"/>
  <c r="B379" i="6"/>
  <c r="F379" i="6" s="1"/>
  <c r="E378" i="6"/>
  <c r="D378" i="6"/>
  <c r="C378" i="6"/>
  <c r="B378" i="6"/>
  <c r="F378" i="6" s="1"/>
  <c r="E377" i="6"/>
  <c r="D377" i="6"/>
  <c r="C377" i="6"/>
  <c r="B377" i="6"/>
  <c r="F377" i="6" s="1"/>
  <c r="E376" i="6"/>
  <c r="D376" i="6"/>
  <c r="C376" i="6"/>
  <c r="B376" i="6"/>
  <c r="F376" i="6" s="1"/>
  <c r="E375" i="6"/>
  <c r="D375" i="6"/>
  <c r="C375" i="6"/>
  <c r="B375" i="6"/>
  <c r="F375" i="6" s="1"/>
  <c r="E374" i="6"/>
  <c r="D374" i="6"/>
  <c r="C374" i="6"/>
  <c r="B374" i="6"/>
  <c r="F374" i="6" s="1"/>
  <c r="E373" i="6"/>
  <c r="D373" i="6"/>
  <c r="C373" i="6"/>
  <c r="B373" i="6"/>
  <c r="F373" i="6" s="1"/>
  <c r="E372" i="6"/>
  <c r="D372" i="6"/>
  <c r="C372" i="6"/>
  <c r="B372" i="6"/>
  <c r="F372" i="6" s="1"/>
  <c r="E371" i="6"/>
  <c r="D371" i="6"/>
  <c r="C371" i="6"/>
  <c r="B371" i="6"/>
  <c r="F371" i="6" s="1"/>
  <c r="E370" i="6"/>
  <c r="D370" i="6"/>
  <c r="C370" i="6"/>
  <c r="B370" i="6"/>
  <c r="F370" i="6" s="1"/>
  <c r="E369" i="6"/>
  <c r="D369" i="6"/>
  <c r="C369" i="6"/>
  <c r="B369" i="6"/>
  <c r="F369" i="6" s="1"/>
  <c r="E368" i="6"/>
  <c r="D368" i="6"/>
  <c r="C368" i="6"/>
  <c r="B368" i="6"/>
  <c r="F368" i="6" s="1"/>
  <c r="E367" i="6"/>
  <c r="D367" i="6"/>
  <c r="C367" i="6"/>
  <c r="B367" i="6"/>
  <c r="F367" i="6" s="1"/>
  <c r="E366" i="6"/>
  <c r="D366" i="6"/>
  <c r="C366" i="6"/>
  <c r="B366" i="6"/>
  <c r="F366" i="6" s="1"/>
  <c r="E365" i="6"/>
  <c r="D365" i="6"/>
  <c r="C365" i="6"/>
  <c r="B365" i="6"/>
  <c r="F365" i="6" s="1"/>
  <c r="E364" i="6"/>
  <c r="D364" i="6"/>
  <c r="C364" i="6"/>
  <c r="B364" i="6"/>
  <c r="F364" i="6" s="1"/>
  <c r="E363" i="6"/>
  <c r="D363" i="6"/>
  <c r="C363" i="6"/>
  <c r="B363" i="6"/>
  <c r="F363" i="6" s="1"/>
  <c r="E362" i="6"/>
  <c r="D362" i="6"/>
  <c r="C362" i="6"/>
  <c r="B362" i="6"/>
  <c r="F362" i="6" s="1"/>
  <c r="E361" i="6"/>
  <c r="D361" i="6"/>
  <c r="C361" i="6"/>
  <c r="B361" i="6"/>
  <c r="F361" i="6" s="1"/>
  <c r="E360" i="6"/>
  <c r="D360" i="6"/>
  <c r="C360" i="6"/>
  <c r="B360" i="6"/>
  <c r="F360" i="6" s="1"/>
  <c r="E359" i="6"/>
  <c r="D359" i="6"/>
  <c r="C359" i="6"/>
  <c r="B359" i="6"/>
  <c r="F359" i="6" s="1"/>
  <c r="E358" i="6"/>
  <c r="D358" i="6"/>
  <c r="C358" i="6"/>
  <c r="B358" i="6"/>
  <c r="F358" i="6" s="1"/>
  <c r="E357" i="6"/>
  <c r="D357" i="6"/>
  <c r="C357" i="6"/>
  <c r="B357" i="6"/>
  <c r="F357" i="6" s="1"/>
  <c r="E356" i="6"/>
  <c r="D356" i="6"/>
  <c r="C356" i="6"/>
  <c r="B356" i="6"/>
  <c r="F356" i="6" s="1"/>
  <c r="E355" i="6"/>
  <c r="D355" i="6"/>
  <c r="C355" i="6"/>
  <c r="B355" i="6"/>
  <c r="F355" i="6" s="1"/>
  <c r="E354" i="6"/>
  <c r="D354" i="6"/>
  <c r="C354" i="6"/>
  <c r="B354" i="6"/>
  <c r="F354" i="6" s="1"/>
  <c r="E353" i="6"/>
  <c r="D353" i="6"/>
  <c r="C353" i="6"/>
  <c r="B353" i="6"/>
  <c r="F353" i="6" s="1"/>
  <c r="E352" i="6"/>
  <c r="D352" i="6"/>
  <c r="C352" i="6"/>
  <c r="B352" i="6"/>
  <c r="F352" i="6" s="1"/>
  <c r="E351" i="6"/>
  <c r="D351" i="6"/>
  <c r="C351" i="6"/>
  <c r="B351" i="6"/>
  <c r="F351" i="6" s="1"/>
  <c r="E350" i="6"/>
  <c r="D350" i="6"/>
  <c r="C350" i="6"/>
  <c r="B350" i="6"/>
  <c r="F350" i="6" s="1"/>
  <c r="E349" i="6"/>
  <c r="D349" i="6"/>
  <c r="C349" i="6"/>
  <c r="B349" i="6"/>
  <c r="F349" i="6" s="1"/>
  <c r="E348" i="6"/>
  <c r="D348" i="6"/>
  <c r="C348" i="6"/>
  <c r="B348" i="6"/>
  <c r="F348" i="6" s="1"/>
  <c r="E347" i="6"/>
  <c r="D347" i="6"/>
  <c r="C347" i="6"/>
  <c r="B347" i="6"/>
  <c r="F347" i="6" s="1"/>
  <c r="E346" i="6"/>
  <c r="D346" i="6"/>
  <c r="C346" i="6"/>
  <c r="B346" i="6"/>
  <c r="F346" i="6" s="1"/>
  <c r="E345" i="6"/>
  <c r="D345" i="6"/>
  <c r="C345" i="6"/>
  <c r="B345" i="6"/>
  <c r="F345" i="6" s="1"/>
  <c r="E344" i="6"/>
  <c r="D344" i="6"/>
  <c r="C344" i="6"/>
  <c r="B344" i="6"/>
  <c r="F344" i="6" s="1"/>
  <c r="E343" i="6"/>
  <c r="D343" i="6"/>
  <c r="C343" i="6"/>
  <c r="B343" i="6"/>
  <c r="F343" i="6" s="1"/>
  <c r="E342" i="6"/>
  <c r="D342" i="6"/>
  <c r="C342" i="6"/>
  <c r="B342" i="6"/>
  <c r="F342" i="6" s="1"/>
  <c r="E341" i="6"/>
  <c r="D341" i="6"/>
  <c r="C341" i="6"/>
  <c r="B341" i="6"/>
  <c r="F341" i="6" s="1"/>
  <c r="E340" i="6"/>
  <c r="D340" i="6"/>
  <c r="C340" i="6"/>
  <c r="B340" i="6"/>
  <c r="F340" i="6" s="1"/>
  <c r="E339" i="6"/>
  <c r="D339" i="6"/>
  <c r="C339" i="6"/>
  <c r="B339" i="6"/>
  <c r="F339" i="6" s="1"/>
  <c r="E338" i="6"/>
  <c r="D338" i="6"/>
  <c r="C338" i="6"/>
  <c r="B338" i="6"/>
  <c r="F338" i="6" s="1"/>
  <c r="E337" i="6"/>
  <c r="D337" i="6"/>
  <c r="C337" i="6"/>
  <c r="B337" i="6"/>
  <c r="F337" i="6" s="1"/>
  <c r="E336" i="6"/>
  <c r="D336" i="6"/>
  <c r="C336" i="6"/>
  <c r="B336" i="6"/>
  <c r="F336" i="6" s="1"/>
  <c r="E335" i="6"/>
  <c r="D335" i="6"/>
  <c r="C335" i="6"/>
  <c r="B335" i="6"/>
  <c r="F335" i="6" s="1"/>
  <c r="E334" i="6"/>
  <c r="D334" i="6"/>
  <c r="C334" i="6"/>
  <c r="B334" i="6"/>
  <c r="F334" i="6" s="1"/>
  <c r="E333" i="6"/>
  <c r="D333" i="6"/>
  <c r="C333" i="6"/>
  <c r="B333" i="6"/>
  <c r="F333" i="6" s="1"/>
  <c r="E332" i="6"/>
  <c r="D332" i="6"/>
  <c r="C332" i="6"/>
  <c r="B332" i="6"/>
  <c r="F332" i="6" s="1"/>
  <c r="E331" i="6"/>
  <c r="D331" i="6"/>
  <c r="C331" i="6"/>
  <c r="B331" i="6"/>
  <c r="F331" i="6" s="1"/>
  <c r="E330" i="6"/>
  <c r="D330" i="6"/>
  <c r="C330" i="6"/>
  <c r="B330" i="6"/>
  <c r="F330" i="6" s="1"/>
  <c r="E329" i="6"/>
  <c r="D329" i="6"/>
  <c r="C329" i="6"/>
  <c r="B329" i="6"/>
  <c r="F329" i="6" s="1"/>
  <c r="E328" i="6"/>
  <c r="D328" i="6"/>
  <c r="C328" i="6"/>
  <c r="B328" i="6"/>
  <c r="F328" i="6" s="1"/>
  <c r="E327" i="6"/>
  <c r="D327" i="6"/>
  <c r="C327" i="6"/>
  <c r="B327" i="6"/>
  <c r="F327" i="6" s="1"/>
  <c r="E326" i="6"/>
  <c r="D326" i="6"/>
  <c r="C326" i="6"/>
  <c r="B326" i="6"/>
  <c r="F326" i="6" s="1"/>
  <c r="E325" i="6"/>
  <c r="D325" i="6"/>
  <c r="C325" i="6"/>
  <c r="B325" i="6"/>
  <c r="F325" i="6" s="1"/>
  <c r="E324" i="6"/>
  <c r="D324" i="6"/>
  <c r="C324" i="6"/>
  <c r="B324" i="6"/>
  <c r="F324" i="6" s="1"/>
  <c r="E323" i="6"/>
  <c r="D323" i="6"/>
  <c r="C323" i="6"/>
  <c r="B323" i="6"/>
  <c r="F323" i="6" s="1"/>
  <c r="E322" i="6"/>
  <c r="D322" i="6"/>
  <c r="C322" i="6"/>
  <c r="B322" i="6"/>
  <c r="F322" i="6" s="1"/>
  <c r="E321" i="6"/>
  <c r="D321" i="6"/>
  <c r="C321" i="6"/>
  <c r="B321" i="6"/>
  <c r="F321" i="6" s="1"/>
  <c r="E320" i="6"/>
  <c r="D320" i="6"/>
  <c r="C320" i="6"/>
  <c r="B320" i="6"/>
  <c r="F320" i="6" s="1"/>
  <c r="E319" i="6"/>
  <c r="D319" i="6"/>
  <c r="C319" i="6"/>
  <c r="B319" i="6"/>
  <c r="F319" i="6" s="1"/>
  <c r="E318" i="6"/>
  <c r="D318" i="6"/>
  <c r="C318" i="6"/>
  <c r="B318" i="6"/>
  <c r="F318" i="6" s="1"/>
  <c r="E317" i="6"/>
  <c r="D317" i="6"/>
  <c r="C317" i="6"/>
  <c r="B317" i="6"/>
  <c r="F317" i="6" s="1"/>
  <c r="E316" i="6"/>
  <c r="D316" i="6"/>
  <c r="C316" i="6"/>
  <c r="B316" i="6"/>
  <c r="F316" i="6" s="1"/>
  <c r="E315" i="6"/>
  <c r="D315" i="6"/>
  <c r="C315" i="6"/>
  <c r="B315" i="6"/>
  <c r="F315" i="6" s="1"/>
  <c r="E314" i="6"/>
  <c r="D314" i="6"/>
  <c r="C314" i="6"/>
  <c r="B314" i="6"/>
  <c r="F314" i="6" s="1"/>
  <c r="E313" i="6"/>
  <c r="D313" i="6"/>
  <c r="C313" i="6"/>
  <c r="B313" i="6"/>
  <c r="F313" i="6" s="1"/>
  <c r="E312" i="6"/>
  <c r="D312" i="6"/>
  <c r="C312" i="6"/>
  <c r="B312" i="6"/>
  <c r="F312" i="6" s="1"/>
  <c r="E311" i="6"/>
  <c r="D311" i="6"/>
  <c r="C311" i="6"/>
  <c r="B311" i="6"/>
  <c r="F311" i="6" s="1"/>
  <c r="E310" i="6"/>
  <c r="D310" i="6"/>
  <c r="C310" i="6"/>
  <c r="B310" i="6"/>
  <c r="F310" i="6" s="1"/>
  <c r="E309" i="6"/>
  <c r="D309" i="6"/>
  <c r="C309" i="6"/>
  <c r="B309" i="6"/>
  <c r="F309" i="6" s="1"/>
  <c r="E308" i="6"/>
  <c r="D308" i="6"/>
  <c r="C308" i="6"/>
  <c r="B308" i="6"/>
  <c r="F308" i="6" s="1"/>
  <c r="E307" i="6"/>
  <c r="D307" i="6"/>
  <c r="C307" i="6"/>
  <c r="B307" i="6"/>
  <c r="F307" i="6" s="1"/>
  <c r="E306" i="6"/>
  <c r="D306" i="6"/>
  <c r="C306" i="6"/>
  <c r="B306" i="6"/>
  <c r="F306" i="6" s="1"/>
  <c r="E305" i="6"/>
  <c r="D305" i="6"/>
  <c r="C305" i="6"/>
  <c r="B305" i="6"/>
  <c r="F305" i="6" s="1"/>
  <c r="E304" i="6"/>
  <c r="D304" i="6"/>
  <c r="C304" i="6"/>
  <c r="B304" i="6"/>
  <c r="F304" i="6" s="1"/>
  <c r="E303" i="6"/>
  <c r="D303" i="6"/>
  <c r="C303" i="6"/>
  <c r="B303" i="6"/>
  <c r="F303" i="6" s="1"/>
  <c r="E302" i="6"/>
  <c r="D302" i="6"/>
  <c r="C302" i="6"/>
  <c r="B302" i="6"/>
  <c r="F302" i="6" s="1"/>
  <c r="E301" i="6"/>
  <c r="D301" i="6"/>
  <c r="C301" i="6"/>
  <c r="B301" i="6"/>
  <c r="F301" i="6" s="1"/>
  <c r="E300" i="6"/>
  <c r="D300" i="6"/>
  <c r="C300" i="6"/>
  <c r="B300" i="6"/>
  <c r="F300" i="6" s="1"/>
  <c r="E299" i="6"/>
  <c r="D299" i="6"/>
  <c r="C299" i="6"/>
  <c r="B299" i="6"/>
  <c r="F299" i="6" s="1"/>
  <c r="E298" i="6"/>
  <c r="D298" i="6"/>
  <c r="C298" i="6"/>
  <c r="B298" i="6"/>
  <c r="F298" i="6" s="1"/>
  <c r="E297" i="6"/>
  <c r="D297" i="6"/>
  <c r="C297" i="6"/>
  <c r="B297" i="6"/>
  <c r="F297" i="6" s="1"/>
  <c r="E296" i="6"/>
  <c r="D296" i="6"/>
  <c r="C296" i="6"/>
  <c r="B296" i="6"/>
  <c r="F296" i="6" s="1"/>
  <c r="E295" i="6"/>
  <c r="D295" i="6"/>
  <c r="C295" i="6"/>
  <c r="B295" i="6"/>
  <c r="F295" i="6" s="1"/>
  <c r="E294" i="6"/>
  <c r="D294" i="6"/>
  <c r="C294" i="6"/>
  <c r="B294" i="6"/>
  <c r="F294" i="6" s="1"/>
  <c r="E293" i="6"/>
  <c r="D293" i="6"/>
  <c r="C293" i="6"/>
  <c r="B293" i="6"/>
  <c r="F293" i="6" s="1"/>
  <c r="E292" i="6"/>
  <c r="D292" i="6"/>
  <c r="C292" i="6"/>
  <c r="B292" i="6"/>
  <c r="F292" i="6" s="1"/>
  <c r="E291" i="6"/>
  <c r="D291" i="6"/>
  <c r="C291" i="6"/>
  <c r="B291" i="6"/>
  <c r="F291" i="6" s="1"/>
  <c r="E290" i="6"/>
  <c r="D290" i="6"/>
  <c r="C290" i="6"/>
  <c r="B290" i="6"/>
  <c r="F290" i="6" s="1"/>
  <c r="E289" i="6"/>
  <c r="D289" i="6"/>
  <c r="C289" i="6"/>
  <c r="B289" i="6"/>
  <c r="F289" i="6" s="1"/>
  <c r="E288" i="6"/>
  <c r="D288" i="6"/>
  <c r="C288" i="6"/>
  <c r="B288" i="6"/>
  <c r="F288" i="6" s="1"/>
  <c r="E287" i="6"/>
  <c r="D287" i="6"/>
  <c r="C287" i="6"/>
  <c r="B287" i="6"/>
  <c r="F287" i="6" s="1"/>
  <c r="E286" i="6"/>
  <c r="D286" i="6"/>
  <c r="C286" i="6"/>
  <c r="B286" i="6"/>
  <c r="F286" i="6" s="1"/>
  <c r="E285" i="6"/>
  <c r="D285" i="6"/>
  <c r="C285" i="6"/>
  <c r="B285" i="6"/>
  <c r="F285" i="6" s="1"/>
  <c r="E284" i="6"/>
  <c r="D284" i="6"/>
  <c r="C284" i="6"/>
  <c r="B284" i="6"/>
  <c r="F284" i="6" s="1"/>
  <c r="E283" i="6"/>
  <c r="D283" i="6"/>
  <c r="C283" i="6"/>
  <c r="B283" i="6"/>
  <c r="F283" i="6" s="1"/>
  <c r="E282" i="6"/>
  <c r="D282" i="6"/>
  <c r="C282" i="6"/>
  <c r="B282" i="6"/>
  <c r="F282" i="6" s="1"/>
  <c r="E281" i="6"/>
  <c r="D281" i="6"/>
  <c r="C281" i="6"/>
  <c r="B281" i="6"/>
  <c r="F281" i="6" s="1"/>
  <c r="E280" i="6"/>
  <c r="D280" i="6"/>
  <c r="C280" i="6"/>
  <c r="B280" i="6"/>
  <c r="F280" i="6" s="1"/>
  <c r="E279" i="6"/>
  <c r="D279" i="6"/>
  <c r="C279" i="6"/>
  <c r="B279" i="6"/>
  <c r="F279" i="6" s="1"/>
  <c r="E278" i="6"/>
  <c r="D278" i="6"/>
  <c r="C278" i="6"/>
  <c r="B278" i="6"/>
  <c r="F278" i="6" s="1"/>
  <c r="E277" i="6"/>
  <c r="D277" i="6"/>
  <c r="C277" i="6"/>
  <c r="B277" i="6"/>
  <c r="F277" i="6" s="1"/>
  <c r="E276" i="6"/>
  <c r="D276" i="6"/>
  <c r="C276" i="6"/>
  <c r="B276" i="6"/>
  <c r="F276" i="6" s="1"/>
  <c r="E275" i="6"/>
  <c r="D275" i="6"/>
  <c r="C275" i="6"/>
  <c r="B275" i="6"/>
  <c r="F275" i="6" s="1"/>
  <c r="E274" i="6"/>
  <c r="D274" i="6"/>
  <c r="C274" i="6"/>
  <c r="B274" i="6"/>
  <c r="F274" i="6" s="1"/>
  <c r="E273" i="6"/>
  <c r="D273" i="6"/>
  <c r="C273" i="6"/>
  <c r="B273" i="6"/>
  <c r="F273" i="6" s="1"/>
  <c r="E272" i="6"/>
  <c r="D272" i="6"/>
  <c r="C272" i="6"/>
  <c r="B272" i="6"/>
  <c r="F272" i="6" s="1"/>
  <c r="E271" i="6"/>
  <c r="D271" i="6"/>
  <c r="C271" i="6"/>
  <c r="B271" i="6"/>
  <c r="F271" i="6" s="1"/>
  <c r="E270" i="6"/>
  <c r="D270" i="6"/>
  <c r="C270" i="6"/>
  <c r="B270" i="6"/>
  <c r="F270" i="6" s="1"/>
  <c r="E269" i="6"/>
  <c r="D269" i="6"/>
  <c r="C269" i="6"/>
  <c r="B269" i="6"/>
  <c r="F269" i="6" s="1"/>
  <c r="E268" i="6"/>
  <c r="D268" i="6"/>
  <c r="C268" i="6"/>
  <c r="B268" i="6"/>
  <c r="F268" i="6" s="1"/>
  <c r="E267" i="6"/>
  <c r="D267" i="6"/>
  <c r="C267" i="6"/>
  <c r="B267" i="6"/>
  <c r="F267" i="6" s="1"/>
  <c r="E266" i="6"/>
  <c r="D266" i="6"/>
  <c r="C266" i="6"/>
  <c r="B266" i="6"/>
  <c r="F266" i="6" s="1"/>
  <c r="E265" i="6"/>
  <c r="D265" i="6"/>
  <c r="C265" i="6"/>
  <c r="B265" i="6"/>
  <c r="F265" i="6" s="1"/>
  <c r="E264" i="6"/>
  <c r="D264" i="6"/>
  <c r="C264" i="6"/>
  <c r="B264" i="6"/>
  <c r="F264" i="6" s="1"/>
  <c r="E263" i="6"/>
  <c r="D263" i="6"/>
  <c r="C263" i="6"/>
  <c r="B263" i="6"/>
  <c r="F263" i="6" s="1"/>
  <c r="E262" i="6"/>
  <c r="D262" i="6"/>
  <c r="C262" i="6"/>
  <c r="B262" i="6"/>
  <c r="F262" i="6" s="1"/>
  <c r="E261" i="6"/>
  <c r="D261" i="6"/>
  <c r="C261" i="6"/>
  <c r="B261" i="6"/>
  <c r="F261" i="6" s="1"/>
  <c r="E260" i="6"/>
  <c r="D260" i="6"/>
  <c r="C260" i="6"/>
  <c r="B260" i="6"/>
  <c r="F260" i="6" s="1"/>
  <c r="E259" i="6"/>
  <c r="D259" i="6"/>
  <c r="C259" i="6"/>
  <c r="B259" i="6"/>
  <c r="F259" i="6" s="1"/>
  <c r="E258" i="6"/>
  <c r="D258" i="6"/>
  <c r="C258" i="6"/>
  <c r="B258" i="6"/>
  <c r="F258" i="6" s="1"/>
  <c r="E257" i="6"/>
  <c r="D257" i="6"/>
  <c r="C257" i="6"/>
  <c r="B257" i="6"/>
  <c r="F257" i="6" s="1"/>
  <c r="E256" i="6"/>
  <c r="D256" i="6"/>
  <c r="C256" i="6"/>
  <c r="B256" i="6"/>
  <c r="F256" i="6" s="1"/>
  <c r="E255" i="6"/>
  <c r="D255" i="6"/>
  <c r="C255" i="6"/>
  <c r="B255" i="6"/>
  <c r="F255" i="6" s="1"/>
  <c r="E254" i="6"/>
  <c r="D254" i="6"/>
  <c r="C254" i="6"/>
  <c r="B254" i="6"/>
  <c r="F254" i="6" s="1"/>
  <c r="E253" i="6"/>
  <c r="D253" i="6"/>
  <c r="C253" i="6"/>
  <c r="B253" i="6"/>
  <c r="F253" i="6" s="1"/>
  <c r="E252" i="6"/>
  <c r="D252" i="6"/>
  <c r="C252" i="6"/>
  <c r="B252" i="6"/>
  <c r="F252" i="6" s="1"/>
  <c r="E251" i="6"/>
  <c r="D251" i="6"/>
  <c r="C251" i="6"/>
  <c r="B251" i="6"/>
  <c r="F251" i="6" s="1"/>
  <c r="E250" i="6"/>
  <c r="D250" i="6"/>
  <c r="C250" i="6"/>
  <c r="B250" i="6"/>
  <c r="F250" i="6" s="1"/>
  <c r="E249" i="6"/>
  <c r="D249" i="6"/>
  <c r="C249" i="6"/>
  <c r="B249" i="6"/>
  <c r="F249" i="6" s="1"/>
  <c r="E248" i="6"/>
  <c r="D248" i="6"/>
  <c r="C248" i="6"/>
  <c r="B248" i="6"/>
  <c r="F248" i="6" s="1"/>
  <c r="E247" i="6"/>
  <c r="D247" i="6"/>
  <c r="C247" i="6"/>
  <c r="B247" i="6"/>
  <c r="F247" i="6" s="1"/>
  <c r="E246" i="6"/>
  <c r="D246" i="6"/>
  <c r="C246" i="6"/>
  <c r="B246" i="6"/>
  <c r="F246" i="6" s="1"/>
  <c r="E245" i="6"/>
  <c r="D245" i="6"/>
  <c r="C245" i="6"/>
  <c r="B245" i="6"/>
  <c r="F245" i="6" s="1"/>
  <c r="E244" i="6"/>
  <c r="D244" i="6"/>
  <c r="C244" i="6"/>
  <c r="B244" i="6"/>
  <c r="F244" i="6" s="1"/>
  <c r="E243" i="6"/>
  <c r="D243" i="6"/>
  <c r="C243" i="6"/>
  <c r="B243" i="6"/>
  <c r="F243" i="6" s="1"/>
  <c r="E242" i="6"/>
  <c r="D242" i="6"/>
  <c r="C242" i="6"/>
  <c r="B242" i="6"/>
  <c r="F242" i="6" s="1"/>
  <c r="E241" i="6"/>
  <c r="D241" i="6"/>
  <c r="C241" i="6"/>
  <c r="B241" i="6"/>
  <c r="F241" i="6" s="1"/>
  <c r="E240" i="6"/>
  <c r="D240" i="6"/>
  <c r="C240" i="6"/>
  <c r="B240" i="6"/>
  <c r="F240" i="6" s="1"/>
  <c r="E239" i="6"/>
  <c r="D239" i="6"/>
  <c r="C239" i="6"/>
  <c r="B239" i="6"/>
  <c r="F239" i="6" s="1"/>
  <c r="E238" i="6"/>
  <c r="D238" i="6"/>
  <c r="C238" i="6"/>
  <c r="B238" i="6"/>
  <c r="F238" i="6" s="1"/>
  <c r="E237" i="6"/>
  <c r="D237" i="6"/>
  <c r="C237" i="6"/>
  <c r="B237" i="6"/>
  <c r="F237" i="6" s="1"/>
  <c r="E236" i="6"/>
  <c r="D236" i="6"/>
  <c r="C236" i="6"/>
  <c r="B236" i="6"/>
  <c r="F236" i="6" s="1"/>
  <c r="E235" i="6"/>
  <c r="D235" i="6"/>
  <c r="C235" i="6"/>
  <c r="B235" i="6"/>
  <c r="F235" i="6" s="1"/>
  <c r="E234" i="6"/>
  <c r="D234" i="6"/>
  <c r="C234" i="6"/>
  <c r="B234" i="6"/>
  <c r="F234" i="6" s="1"/>
  <c r="E233" i="6"/>
  <c r="D233" i="6"/>
  <c r="C233" i="6"/>
  <c r="B233" i="6"/>
  <c r="F233" i="6" s="1"/>
  <c r="E232" i="6"/>
  <c r="D232" i="6"/>
  <c r="C232" i="6"/>
  <c r="B232" i="6"/>
  <c r="F232" i="6" s="1"/>
  <c r="E231" i="6"/>
  <c r="D231" i="6"/>
  <c r="C231" i="6"/>
  <c r="B231" i="6"/>
  <c r="F231" i="6" s="1"/>
  <c r="E230" i="6"/>
  <c r="D230" i="6"/>
  <c r="C230" i="6"/>
  <c r="B230" i="6"/>
  <c r="F230" i="6" s="1"/>
  <c r="E229" i="6"/>
  <c r="D229" i="6"/>
  <c r="C229" i="6"/>
  <c r="B229" i="6"/>
  <c r="F229" i="6" s="1"/>
  <c r="E228" i="6"/>
  <c r="D228" i="6"/>
  <c r="C228" i="6"/>
  <c r="B228" i="6"/>
  <c r="F228" i="6" s="1"/>
  <c r="E227" i="6"/>
  <c r="D227" i="6"/>
  <c r="C227" i="6"/>
  <c r="B227" i="6"/>
  <c r="F227" i="6" s="1"/>
  <c r="E226" i="6"/>
  <c r="D226" i="6"/>
  <c r="C226" i="6"/>
  <c r="B226" i="6"/>
  <c r="F226" i="6" s="1"/>
  <c r="E225" i="6"/>
  <c r="D225" i="6"/>
  <c r="C225" i="6"/>
  <c r="B225" i="6"/>
  <c r="F225" i="6" s="1"/>
  <c r="E224" i="6"/>
  <c r="D224" i="6"/>
  <c r="C224" i="6"/>
  <c r="B224" i="6"/>
  <c r="F224" i="6" s="1"/>
  <c r="E223" i="6"/>
  <c r="D223" i="6"/>
  <c r="C223" i="6"/>
  <c r="B223" i="6"/>
  <c r="F223" i="6" s="1"/>
  <c r="E222" i="6"/>
  <c r="D222" i="6"/>
  <c r="C222" i="6"/>
  <c r="B222" i="6"/>
  <c r="F222" i="6" s="1"/>
  <c r="E221" i="6"/>
  <c r="D221" i="6"/>
  <c r="C221" i="6"/>
  <c r="B221" i="6"/>
  <c r="F221" i="6" s="1"/>
  <c r="E220" i="6"/>
  <c r="D220" i="6"/>
  <c r="C220" i="6"/>
  <c r="B220" i="6"/>
  <c r="F220" i="6" s="1"/>
  <c r="E219" i="6"/>
  <c r="D219" i="6"/>
  <c r="C219" i="6"/>
  <c r="B219" i="6"/>
  <c r="F219" i="6" s="1"/>
  <c r="E218" i="6"/>
  <c r="D218" i="6"/>
  <c r="C218" i="6"/>
  <c r="B218" i="6"/>
  <c r="F218" i="6" s="1"/>
  <c r="E217" i="6"/>
  <c r="D217" i="6"/>
  <c r="C217" i="6"/>
  <c r="B217" i="6"/>
  <c r="F217" i="6" s="1"/>
  <c r="E216" i="6"/>
  <c r="D216" i="6"/>
  <c r="C216" i="6"/>
  <c r="B216" i="6"/>
  <c r="F216" i="6" s="1"/>
  <c r="E215" i="6"/>
  <c r="D215" i="6"/>
  <c r="C215" i="6"/>
  <c r="B215" i="6"/>
  <c r="F215" i="6" s="1"/>
  <c r="E214" i="6"/>
  <c r="D214" i="6"/>
  <c r="C214" i="6"/>
  <c r="B214" i="6"/>
  <c r="F214" i="6" s="1"/>
  <c r="E213" i="6"/>
  <c r="D213" i="6"/>
  <c r="C213" i="6"/>
  <c r="B213" i="6"/>
  <c r="F213" i="6" s="1"/>
  <c r="E212" i="6"/>
  <c r="D212" i="6"/>
  <c r="C212" i="6"/>
  <c r="B212" i="6"/>
  <c r="F212" i="6" s="1"/>
  <c r="E211" i="6"/>
  <c r="D211" i="6"/>
  <c r="C211" i="6"/>
  <c r="B211" i="6"/>
  <c r="F211" i="6" s="1"/>
  <c r="E210" i="6"/>
  <c r="D210" i="6"/>
  <c r="C210" i="6"/>
  <c r="B210" i="6"/>
  <c r="F210" i="6" s="1"/>
  <c r="E209" i="6"/>
  <c r="D209" i="6"/>
  <c r="C209" i="6"/>
  <c r="B209" i="6"/>
  <c r="F209" i="6" s="1"/>
  <c r="E208" i="6"/>
  <c r="D208" i="6"/>
  <c r="C208" i="6"/>
  <c r="B208" i="6"/>
  <c r="F208" i="6" s="1"/>
  <c r="E207" i="6"/>
  <c r="D207" i="6"/>
  <c r="C207" i="6"/>
  <c r="B207" i="6"/>
  <c r="F207" i="6" s="1"/>
  <c r="E206" i="6"/>
  <c r="D206" i="6"/>
  <c r="C206" i="6"/>
  <c r="B206" i="6"/>
  <c r="F206" i="6" s="1"/>
  <c r="E205" i="6"/>
  <c r="D205" i="6"/>
  <c r="C205" i="6"/>
  <c r="B205" i="6"/>
  <c r="F205" i="6" s="1"/>
  <c r="E204" i="6"/>
  <c r="D204" i="6"/>
  <c r="C204" i="6"/>
  <c r="B204" i="6"/>
  <c r="F204" i="6" s="1"/>
  <c r="E203" i="6"/>
  <c r="D203" i="6"/>
  <c r="C203" i="6"/>
  <c r="B203" i="6"/>
  <c r="F203" i="6" s="1"/>
  <c r="E202" i="6"/>
  <c r="D202" i="6"/>
  <c r="C202" i="6"/>
  <c r="B202" i="6"/>
  <c r="F202" i="6" s="1"/>
  <c r="E201" i="6"/>
  <c r="D201" i="6"/>
  <c r="C201" i="6"/>
  <c r="B201" i="6"/>
  <c r="F201" i="6" s="1"/>
  <c r="E200" i="6"/>
  <c r="D200" i="6"/>
  <c r="C200" i="6"/>
  <c r="B200" i="6"/>
  <c r="F200" i="6" s="1"/>
  <c r="E199" i="6"/>
  <c r="D199" i="6"/>
  <c r="C199" i="6"/>
  <c r="B199" i="6"/>
  <c r="F199" i="6" s="1"/>
  <c r="E198" i="6"/>
  <c r="D198" i="6"/>
  <c r="C198" i="6"/>
  <c r="B198" i="6"/>
  <c r="F198" i="6" s="1"/>
  <c r="E197" i="6"/>
  <c r="D197" i="6"/>
  <c r="C197" i="6"/>
  <c r="B197" i="6"/>
  <c r="F197" i="6" s="1"/>
  <c r="E196" i="6"/>
  <c r="D196" i="6"/>
  <c r="C196" i="6"/>
  <c r="B196" i="6"/>
  <c r="F196" i="6" s="1"/>
  <c r="E195" i="6"/>
  <c r="D195" i="6"/>
  <c r="C195" i="6"/>
  <c r="B195" i="6"/>
  <c r="F195" i="6" s="1"/>
  <c r="E194" i="6"/>
  <c r="D194" i="6"/>
  <c r="C194" i="6"/>
  <c r="B194" i="6"/>
  <c r="F194" i="6" s="1"/>
  <c r="E193" i="6"/>
  <c r="D193" i="6"/>
  <c r="C193" i="6"/>
  <c r="B193" i="6"/>
  <c r="F193" i="6" s="1"/>
  <c r="E192" i="6"/>
  <c r="D192" i="6"/>
  <c r="C192" i="6"/>
  <c r="B192" i="6"/>
  <c r="F192" i="6" s="1"/>
  <c r="E191" i="6"/>
  <c r="D191" i="6"/>
  <c r="C191" i="6"/>
  <c r="B191" i="6"/>
  <c r="F191" i="6" s="1"/>
  <c r="E190" i="6"/>
  <c r="D190" i="6"/>
  <c r="C190" i="6"/>
  <c r="B190" i="6"/>
  <c r="F190" i="6" s="1"/>
  <c r="E189" i="6"/>
  <c r="D189" i="6"/>
  <c r="C189" i="6"/>
  <c r="B189" i="6"/>
  <c r="F189" i="6" s="1"/>
  <c r="E188" i="6"/>
  <c r="D188" i="6"/>
  <c r="C188" i="6"/>
  <c r="B188" i="6"/>
  <c r="F188" i="6" s="1"/>
  <c r="E187" i="6"/>
  <c r="D187" i="6"/>
  <c r="C187" i="6"/>
  <c r="B187" i="6"/>
  <c r="F187" i="6" s="1"/>
  <c r="E186" i="6"/>
  <c r="D186" i="6"/>
  <c r="C186" i="6"/>
  <c r="B186" i="6"/>
  <c r="F186" i="6" s="1"/>
  <c r="E185" i="6"/>
  <c r="D185" i="6"/>
  <c r="C185" i="6"/>
  <c r="B185" i="6"/>
  <c r="F185" i="6" s="1"/>
  <c r="E184" i="6"/>
  <c r="D184" i="6"/>
  <c r="C184" i="6"/>
  <c r="B184" i="6"/>
  <c r="F184" i="6" s="1"/>
  <c r="E183" i="6"/>
  <c r="D183" i="6"/>
  <c r="C183" i="6"/>
  <c r="B183" i="6"/>
  <c r="F183" i="6" s="1"/>
  <c r="E182" i="6"/>
  <c r="D182" i="6"/>
  <c r="C182" i="6"/>
  <c r="B182" i="6"/>
  <c r="F182" i="6" s="1"/>
  <c r="E181" i="6"/>
  <c r="D181" i="6"/>
  <c r="C181" i="6"/>
  <c r="B181" i="6"/>
  <c r="F181" i="6" s="1"/>
  <c r="E180" i="6"/>
  <c r="D180" i="6"/>
  <c r="C180" i="6"/>
  <c r="B180" i="6"/>
  <c r="F180" i="6" s="1"/>
  <c r="E179" i="6"/>
  <c r="D179" i="6"/>
  <c r="C179" i="6"/>
  <c r="B179" i="6"/>
  <c r="F179" i="6" s="1"/>
  <c r="E178" i="6"/>
  <c r="D178" i="6"/>
  <c r="C178" i="6"/>
  <c r="B178" i="6"/>
  <c r="F178" i="6" s="1"/>
  <c r="E177" i="6"/>
  <c r="D177" i="6"/>
  <c r="C177" i="6"/>
  <c r="B177" i="6"/>
  <c r="F177" i="6" s="1"/>
  <c r="E176" i="6"/>
  <c r="D176" i="6"/>
  <c r="C176" i="6"/>
  <c r="B176" i="6"/>
  <c r="F176" i="6" s="1"/>
  <c r="E175" i="6"/>
  <c r="D175" i="6"/>
  <c r="C175" i="6"/>
  <c r="B175" i="6"/>
  <c r="F175" i="6" s="1"/>
  <c r="E174" i="6"/>
  <c r="D174" i="6"/>
  <c r="C174" i="6"/>
  <c r="B174" i="6"/>
  <c r="F174" i="6" s="1"/>
  <c r="E173" i="6"/>
  <c r="D173" i="6"/>
  <c r="C173" i="6"/>
  <c r="B173" i="6"/>
  <c r="F173" i="6" s="1"/>
  <c r="E172" i="6"/>
  <c r="D172" i="6"/>
  <c r="C172" i="6"/>
  <c r="B172" i="6"/>
  <c r="F172" i="6" s="1"/>
  <c r="E171" i="6"/>
  <c r="D171" i="6"/>
  <c r="C171" i="6"/>
  <c r="B171" i="6"/>
  <c r="F171" i="6" s="1"/>
  <c r="E170" i="6"/>
  <c r="D170" i="6"/>
  <c r="C170" i="6"/>
  <c r="B170" i="6"/>
  <c r="F170" i="6" s="1"/>
  <c r="E169" i="6"/>
  <c r="D169" i="6"/>
  <c r="C169" i="6"/>
  <c r="B169" i="6"/>
  <c r="F169" i="6" s="1"/>
  <c r="E168" i="6"/>
  <c r="D168" i="6"/>
  <c r="C168" i="6"/>
  <c r="B168" i="6"/>
  <c r="F168" i="6" s="1"/>
  <c r="E167" i="6"/>
  <c r="D167" i="6"/>
  <c r="C167" i="6"/>
  <c r="B167" i="6"/>
  <c r="F167" i="6" s="1"/>
  <c r="E166" i="6"/>
  <c r="D166" i="6"/>
  <c r="C166" i="6"/>
  <c r="B166" i="6"/>
  <c r="F166" i="6" s="1"/>
  <c r="E165" i="6"/>
  <c r="D165" i="6"/>
  <c r="C165" i="6"/>
  <c r="B165" i="6"/>
  <c r="F165" i="6" s="1"/>
  <c r="E164" i="6"/>
  <c r="D164" i="6"/>
  <c r="C164" i="6"/>
  <c r="B164" i="6"/>
  <c r="F164" i="6" s="1"/>
  <c r="E163" i="6"/>
  <c r="D163" i="6"/>
  <c r="C163" i="6"/>
  <c r="B163" i="6"/>
  <c r="F163" i="6" s="1"/>
  <c r="E162" i="6"/>
  <c r="D162" i="6"/>
  <c r="C162" i="6"/>
  <c r="B162" i="6"/>
  <c r="F162" i="6" s="1"/>
  <c r="E161" i="6"/>
  <c r="D161" i="6"/>
  <c r="C161" i="6"/>
  <c r="B161" i="6"/>
  <c r="F161" i="6" s="1"/>
  <c r="E160" i="6"/>
  <c r="D160" i="6"/>
  <c r="C160" i="6"/>
  <c r="B160" i="6"/>
  <c r="F160" i="6" s="1"/>
  <c r="E159" i="6"/>
  <c r="D159" i="6"/>
  <c r="C159" i="6"/>
  <c r="B159" i="6"/>
  <c r="F159" i="6" s="1"/>
  <c r="E158" i="6"/>
  <c r="D158" i="6"/>
  <c r="C158" i="6"/>
  <c r="B158" i="6"/>
  <c r="F158" i="6" s="1"/>
  <c r="E157" i="6"/>
  <c r="D157" i="6"/>
  <c r="C157" i="6"/>
  <c r="B157" i="6"/>
  <c r="F157" i="6" s="1"/>
  <c r="E156" i="6"/>
  <c r="D156" i="6"/>
  <c r="C156" i="6"/>
  <c r="B156" i="6"/>
  <c r="F156" i="6" s="1"/>
  <c r="E155" i="6"/>
  <c r="D155" i="6"/>
  <c r="C155" i="6"/>
  <c r="B155" i="6"/>
  <c r="F155" i="6" s="1"/>
  <c r="E154" i="6"/>
  <c r="D154" i="6"/>
  <c r="C154" i="6"/>
  <c r="B154" i="6"/>
  <c r="F154" i="6" s="1"/>
  <c r="E153" i="6"/>
  <c r="D153" i="6"/>
  <c r="C153" i="6"/>
  <c r="B153" i="6"/>
  <c r="F153" i="6" s="1"/>
  <c r="E152" i="6"/>
  <c r="D152" i="6"/>
  <c r="C152" i="6"/>
  <c r="B152" i="6"/>
  <c r="F152" i="6" s="1"/>
  <c r="E151" i="6"/>
  <c r="D151" i="6"/>
  <c r="C151" i="6"/>
  <c r="B151" i="6"/>
  <c r="F151" i="6" s="1"/>
  <c r="E150" i="6"/>
  <c r="D150" i="6"/>
  <c r="C150" i="6"/>
  <c r="B150" i="6"/>
  <c r="F150" i="6" s="1"/>
  <c r="E149" i="6"/>
  <c r="D149" i="6"/>
  <c r="C149" i="6"/>
  <c r="B149" i="6"/>
  <c r="F149" i="6" s="1"/>
  <c r="E148" i="6"/>
  <c r="D148" i="6"/>
  <c r="C148" i="6"/>
  <c r="B148" i="6"/>
  <c r="F148" i="6" s="1"/>
  <c r="E147" i="6"/>
  <c r="D147" i="6"/>
  <c r="C147" i="6"/>
  <c r="B147" i="6"/>
  <c r="F147" i="6" s="1"/>
  <c r="E146" i="6"/>
  <c r="D146" i="6"/>
  <c r="C146" i="6"/>
  <c r="B146" i="6"/>
  <c r="F146" i="6" s="1"/>
  <c r="E145" i="6"/>
  <c r="D145" i="6"/>
  <c r="C145" i="6"/>
  <c r="B145" i="6"/>
  <c r="F145" i="6" s="1"/>
  <c r="E144" i="6"/>
  <c r="D144" i="6"/>
  <c r="C144" i="6"/>
  <c r="B144" i="6"/>
  <c r="F144" i="6" s="1"/>
  <c r="E143" i="6"/>
  <c r="D143" i="6"/>
  <c r="C143" i="6"/>
  <c r="B143" i="6"/>
  <c r="F143" i="6" s="1"/>
  <c r="E142" i="6"/>
  <c r="D142" i="6"/>
  <c r="C142" i="6"/>
  <c r="B142" i="6"/>
  <c r="F142" i="6" s="1"/>
  <c r="E141" i="6"/>
  <c r="D141" i="6"/>
  <c r="C141" i="6"/>
  <c r="B141" i="6"/>
  <c r="F141" i="6" s="1"/>
  <c r="E140" i="6"/>
  <c r="D140" i="6"/>
  <c r="C140" i="6"/>
  <c r="B140" i="6"/>
  <c r="F140" i="6" s="1"/>
  <c r="E139" i="6"/>
  <c r="D139" i="6"/>
  <c r="C139" i="6"/>
  <c r="B139" i="6"/>
  <c r="F139" i="6" s="1"/>
  <c r="E138" i="6"/>
  <c r="D138" i="6"/>
  <c r="C138" i="6"/>
  <c r="B138" i="6"/>
  <c r="F138" i="6" s="1"/>
  <c r="E137" i="6"/>
  <c r="D137" i="6"/>
  <c r="C137" i="6"/>
  <c r="B137" i="6"/>
  <c r="F137" i="6" s="1"/>
  <c r="E136" i="6"/>
  <c r="D136" i="6"/>
  <c r="C136" i="6"/>
  <c r="B136" i="6"/>
  <c r="F136" i="6" s="1"/>
  <c r="E135" i="6"/>
  <c r="D135" i="6"/>
  <c r="C135" i="6"/>
  <c r="B135" i="6"/>
  <c r="F135" i="6" s="1"/>
  <c r="E134" i="6"/>
  <c r="D134" i="6"/>
  <c r="C134" i="6"/>
  <c r="B134" i="6"/>
  <c r="F134" i="6" s="1"/>
  <c r="E133" i="6"/>
  <c r="D133" i="6"/>
  <c r="C133" i="6"/>
  <c r="B133" i="6"/>
  <c r="F133" i="6" s="1"/>
  <c r="E132" i="6"/>
  <c r="D132" i="6"/>
  <c r="C132" i="6"/>
  <c r="B132" i="6"/>
  <c r="F132" i="6" s="1"/>
  <c r="E131" i="6"/>
  <c r="D131" i="6"/>
  <c r="C131" i="6"/>
  <c r="B131" i="6"/>
  <c r="F131" i="6" s="1"/>
  <c r="E130" i="6"/>
  <c r="D130" i="6"/>
  <c r="C130" i="6"/>
  <c r="B130" i="6"/>
  <c r="F130" i="6" s="1"/>
  <c r="E129" i="6"/>
  <c r="D129" i="6"/>
  <c r="C129" i="6"/>
  <c r="B129" i="6"/>
  <c r="F129" i="6" s="1"/>
  <c r="E128" i="6"/>
  <c r="D128" i="6"/>
  <c r="C128" i="6"/>
  <c r="B128" i="6"/>
  <c r="F128" i="6" s="1"/>
  <c r="E127" i="6"/>
  <c r="D127" i="6"/>
  <c r="C127" i="6"/>
  <c r="B127" i="6"/>
  <c r="F127" i="6" s="1"/>
  <c r="E126" i="6"/>
  <c r="D126" i="6"/>
  <c r="C126" i="6"/>
  <c r="B126" i="6"/>
  <c r="F126" i="6" s="1"/>
  <c r="E125" i="6"/>
  <c r="D125" i="6"/>
  <c r="C125" i="6"/>
  <c r="B125" i="6"/>
  <c r="F125" i="6" s="1"/>
  <c r="E124" i="6"/>
  <c r="D124" i="6"/>
  <c r="C124" i="6"/>
  <c r="B124" i="6"/>
  <c r="F124" i="6" s="1"/>
  <c r="E123" i="6"/>
  <c r="D123" i="6"/>
  <c r="C123" i="6"/>
  <c r="B123" i="6"/>
  <c r="F123" i="6" s="1"/>
  <c r="E122" i="6"/>
  <c r="D122" i="6"/>
  <c r="C122" i="6"/>
  <c r="B122" i="6"/>
  <c r="F122" i="6" s="1"/>
  <c r="E121" i="6"/>
  <c r="D121" i="6"/>
  <c r="C121" i="6"/>
  <c r="B121" i="6"/>
  <c r="F121" i="6" s="1"/>
  <c r="E120" i="6"/>
  <c r="D120" i="6"/>
  <c r="C120" i="6"/>
  <c r="B120" i="6"/>
  <c r="F120" i="6" s="1"/>
  <c r="E119" i="6"/>
  <c r="D119" i="6"/>
  <c r="C119" i="6"/>
  <c r="B119" i="6"/>
  <c r="F119" i="6" s="1"/>
  <c r="E118" i="6"/>
  <c r="D118" i="6"/>
  <c r="C118" i="6"/>
  <c r="B118" i="6"/>
  <c r="F118" i="6" s="1"/>
  <c r="E117" i="6"/>
  <c r="D117" i="6"/>
  <c r="C117" i="6"/>
  <c r="B117" i="6"/>
  <c r="F117" i="6" s="1"/>
  <c r="E116" i="6"/>
  <c r="D116" i="6"/>
  <c r="C116" i="6"/>
  <c r="B116" i="6"/>
  <c r="F116" i="6" s="1"/>
  <c r="E115" i="6"/>
  <c r="D115" i="6"/>
  <c r="C115" i="6"/>
  <c r="B115" i="6"/>
  <c r="F115" i="6" s="1"/>
  <c r="E114" i="6"/>
  <c r="D114" i="6"/>
  <c r="C114" i="6"/>
  <c r="B114" i="6"/>
  <c r="F114" i="6" s="1"/>
  <c r="E113" i="6"/>
  <c r="D113" i="6"/>
  <c r="C113" i="6"/>
  <c r="B113" i="6"/>
  <c r="F113" i="6" s="1"/>
  <c r="E112" i="6"/>
  <c r="D112" i="6"/>
  <c r="C112" i="6"/>
  <c r="B112" i="6"/>
  <c r="F112" i="6" s="1"/>
  <c r="E111" i="6"/>
  <c r="D111" i="6"/>
  <c r="C111" i="6"/>
  <c r="B111" i="6"/>
  <c r="F111" i="6" s="1"/>
  <c r="E110" i="6"/>
  <c r="D110" i="6"/>
  <c r="C110" i="6"/>
  <c r="B110" i="6"/>
  <c r="F110" i="6" s="1"/>
  <c r="E109" i="6"/>
  <c r="D109" i="6"/>
  <c r="C109" i="6"/>
  <c r="B109" i="6"/>
  <c r="F109" i="6" s="1"/>
  <c r="E108" i="6"/>
  <c r="D108" i="6"/>
  <c r="C108" i="6"/>
  <c r="B108" i="6"/>
  <c r="F108" i="6" s="1"/>
  <c r="E107" i="6"/>
  <c r="D107" i="6"/>
  <c r="C107" i="6"/>
  <c r="B107" i="6"/>
  <c r="F107" i="6" s="1"/>
  <c r="E106" i="6"/>
  <c r="D106" i="6"/>
  <c r="C106" i="6"/>
  <c r="B106" i="6"/>
  <c r="F106" i="6" s="1"/>
  <c r="E105" i="6"/>
  <c r="D105" i="6"/>
  <c r="C105" i="6"/>
  <c r="B105" i="6"/>
  <c r="F105" i="6" s="1"/>
  <c r="E104" i="6"/>
  <c r="D104" i="6"/>
  <c r="C104" i="6"/>
  <c r="B104" i="6"/>
  <c r="F104" i="6" s="1"/>
  <c r="E103" i="6"/>
  <c r="D103" i="6"/>
  <c r="C103" i="6"/>
  <c r="B103" i="6"/>
  <c r="F103" i="6" s="1"/>
  <c r="E102" i="6"/>
  <c r="D102" i="6"/>
  <c r="C102" i="6"/>
  <c r="B102" i="6"/>
  <c r="F102" i="6" s="1"/>
  <c r="E101" i="6"/>
  <c r="D101" i="6"/>
  <c r="C101" i="6"/>
  <c r="B101" i="6"/>
  <c r="F101" i="6" s="1"/>
  <c r="E100" i="6"/>
  <c r="D100" i="6"/>
  <c r="C100" i="6"/>
  <c r="B100" i="6"/>
  <c r="F100" i="6" s="1"/>
  <c r="E99" i="6"/>
  <c r="D99" i="6"/>
  <c r="C99" i="6"/>
  <c r="B99" i="6"/>
  <c r="F99" i="6" s="1"/>
  <c r="E98" i="6"/>
  <c r="D98" i="6"/>
  <c r="C98" i="6"/>
  <c r="B98" i="6"/>
  <c r="F98" i="6" s="1"/>
  <c r="E97" i="6"/>
  <c r="D97" i="6"/>
  <c r="C97" i="6"/>
  <c r="B97" i="6"/>
  <c r="F97" i="6" s="1"/>
  <c r="E96" i="6"/>
  <c r="D96" i="6"/>
  <c r="C96" i="6"/>
  <c r="B96" i="6"/>
  <c r="F96" i="6" s="1"/>
  <c r="E95" i="6"/>
  <c r="D95" i="6"/>
  <c r="C95" i="6"/>
  <c r="B95" i="6"/>
  <c r="F95" i="6" s="1"/>
  <c r="E94" i="6"/>
  <c r="D94" i="6"/>
  <c r="C94" i="6"/>
  <c r="B94" i="6"/>
  <c r="F94" i="6" s="1"/>
  <c r="E93" i="6"/>
  <c r="D93" i="6"/>
  <c r="C93" i="6"/>
  <c r="B93" i="6"/>
  <c r="F93" i="6" s="1"/>
  <c r="E92" i="6"/>
  <c r="D92" i="6"/>
  <c r="C92" i="6"/>
  <c r="B92" i="6"/>
  <c r="F92" i="6" s="1"/>
  <c r="E91" i="6"/>
  <c r="D91" i="6"/>
  <c r="C91" i="6"/>
  <c r="B91" i="6"/>
  <c r="F91" i="6" s="1"/>
  <c r="E90" i="6"/>
  <c r="D90" i="6"/>
  <c r="C90" i="6"/>
  <c r="B90" i="6"/>
  <c r="F90" i="6" s="1"/>
  <c r="E89" i="6"/>
  <c r="D89" i="6"/>
  <c r="C89" i="6"/>
  <c r="B89" i="6"/>
  <c r="F89" i="6" s="1"/>
  <c r="E88" i="6"/>
  <c r="D88" i="6"/>
  <c r="C88" i="6"/>
  <c r="B88" i="6"/>
  <c r="F88" i="6" s="1"/>
  <c r="E87" i="6"/>
  <c r="D87" i="6"/>
  <c r="C87" i="6"/>
  <c r="B87" i="6"/>
  <c r="F87" i="6" s="1"/>
  <c r="E86" i="6"/>
  <c r="D86" i="6"/>
  <c r="C86" i="6"/>
  <c r="B86" i="6"/>
  <c r="F86" i="6" s="1"/>
  <c r="E85" i="6"/>
  <c r="D85" i="6"/>
  <c r="C85" i="6"/>
  <c r="B85" i="6"/>
  <c r="F85" i="6" s="1"/>
  <c r="E84" i="6"/>
  <c r="D84" i="6"/>
  <c r="C84" i="6"/>
  <c r="B84" i="6"/>
  <c r="F84" i="6" s="1"/>
  <c r="E83" i="6"/>
  <c r="D83" i="6"/>
  <c r="C83" i="6"/>
  <c r="B83" i="6"/>
  <c r="F83" i="6" s="1"/>
  <c r="E82" i="6"/>
  <c r="D82" i="6"/>
  <c r="C82" i="6"/>
  <c r="B82" i="6"/>
  <c r="F82" i="6" s="1"/>
  <c r="E81" i="6"/>
  <c r="D81" i="6"/>
  <c r="C81" i="6"/>
  <c r="B81" i="6"/>
  <c r="F81" i="6" s="1"/>
  <c r="E80" i="6"/>
  <c r="D80" i="6"/>
  <c r="C80" i="6"/>
  <c r="B80" i="6"/>
  <c r="F80" i="6" s="1"/>
  <c r="E79" i="6"/>
  <c r="D79" i="6"/>
  <c r="C79" i="6"/>
  <c r="B79" i="6"/>
  <c r="F79" i="6" s="1"/>
  <c r="E78" i="6"/>
  <c r="D78" i="6"/>
  <c r="C78" i="6"/>
  <c r="B78" i="6"/>
  <c r="F78" i="6" s="1"/>
  <c r="E77" i="6"/>
  <c r="D77" i="6"/>
  <c r="C77" i="6"/>
  <c r="B77" i="6"/>
  <c r="F77" i="6" s="1"/>
  <c r="E76" i="6"/>
  <c r="D76" i="6"/>
  <c r="C76" i="6"/>
  <c r="B76" i="6"/>
  <c r="F76" i="6" s="1"/>
  <c r="E75" i="6"/>
  <c r="D75" i="6"/>
  <c r="C75" i="6"/>
  <c r="B75" i="6"/>
  <c r="F75" i="6" s="1"/>
  <c r="E74" i="6"/>
  <c r="D74" i="6"/>
  <c r="C74" i="6"/>
  <c r="B74" i="6"/>
  <c r="F74" i="6" s="1"/>
  <c r="E73" i="6"/>
  <c r="D73" i="6"/>
  <c r="C73" i="6"/>
  <c r="B73" i="6"/>
  <c r="F73" i="6" s="1"/>
  <c r="E72" i="6"/>
  <c r="D72" i="6"/>
  <c r="C72" i="6"/>
  <c r="B72" i="6"/>
  <c r="F72" i="6" s="1"/>
  <c r="E71" i="6"/>
  <c r="D71" i="6"/>
  <c r="C71" i="6"/>
  <c r="B71" i="6"/>
  <c r="F71" i="6" s="1"/>
  <c r="E70" i="6"/>
  <c r="D70" i="6"/>
  <c r="C70" i="6"/>
  <c r="B70" i="6"/>
  <c r="F70" i="6" s="1"/>
  <c r="E69" i="6"/>
  <c r="D69" i="6"/>
  <c r="C69" i="6"/>
  <c r="B69" i="6"/>
  <c r="F69" i="6" s="1"/>
  <c r="E68" i="6"/>
  <c r="D68" i="6"/>
  <c r="C68" i="6"/>
  <c r="B68" i="6"/>
  <c r="F68" i="6" s="1"/>
  <c r="E67" i="6"/>
  <c r="D67" i="6"/>
  <c r="C67" i="6"/>
  <c r="B67" i="6"/>
  <c r="F67" i="6" s="1"/>
  <c r="E66" i="6"/>
  <c r="D66" i="6"/>
  <c r="C66" i="6"/>
  <c r="B66" i="6"/>
  <c r="F66" i="6" s="1"/>
  <c r="E65" i="6"/>
  <c r="D65" i="6"/>
  <c r="C65" i="6"/>
  <c r="B65" i="6"/>
  <c r="F65" i="6" s="1"/>
  <c r="E64" i="6"/>
  <c r="D64" i="6"/>
  <c r="C64" i="6"/>
  <c r="B64" i="6"/>
  <c r="F64" i="6" s="1"/>
  <c r="E63" i="6"/>
  <c r="D63" i="6"/>
  <c r="C63" i="6"/>
  <c r="B63" i="6"/>
  <c r="F63" i="6" s="1"/>
  <c r="E62" i="6"/>
  <c r="D62" i="6"/>
  <c r="C62" i="6"/>
  <c r="B62" i="6"/>
  <c r="F62" i="6" s="1"/>
  <c r="E61" i="6"/>
  <c r="D61" i="6"/>
  <c r="C61" i="6"/>
  <c r="B61" i="6"/>
  <c r="F61" i="6" s="1"/>
  <c r="E60" i="6"/>
  <c r="D60" i="6"/>
  <c r="C60" i="6"/>
  <c r="B60" i="6"/>
  <c r="F60" i="6" s="1"/>
  <c r="E59" i="6"/>
  <c r="D59" i="6"/>
  <c r="C59" i="6"/>
  <c r="B59" i="6"/>
  <c r="F59" i="6" s="1"/>
  <c r="E58" i="6"/>
  <c r="D58" i="6"/>
  <c r="C58" i="6"/>
  <c r="B58" i="6"/>
  <c r="F58" i="6" s="1"/>
  <c r="E57" i="6"/>
  <c r="D57" i="6"/>
  <c r="C57" i="6"/>
  <c r="B57" i="6"/>
  <c r="F57" i="6" s="1"/>
  <c r="E56" i="6"/>
  <c r="D56" i="6"/>
  <c r="C56" i="6"/>
  <c r="B56" i="6"/>
  <c r="F56" i="6" s="1"/>
  <c r="E55" i="6"/>
  <c r="D55" i="6"/>
  <c r="C55" i="6"/>
  <c r="B55" i="6"/>
  <c r="F55" i="6" s="1"/>
  <c r="E54" i="6"/>
  <c r="D54" i="6"/>
  <c r="C54" i="6"/>
  <c r="B54" i="6"/>
  <c r="F54" i="6" s="1"/>
  <c r="E53" i="6"/>
  <c r="D53" i="6"/>
  <c r="C53" i="6"/>
  <c r="B53" i="6"/>
  <c r="F53" i="6" s="1"/>
  <c r="E52" i="6"/>
  <c r="D52" i="6"/>
  <c r="C52" i="6"/>
  <c r="B52" i="6"/>
  <c r="F52" i="6" s="1"/>
  <c r="E51" i="6"/>
  <c r="D51" i="6"/>
  <c r="C51" i="6"/>
  <c r="B51" i="6"/>
  <c r="F51" i="6" s="1"/>
  <c r="E50" i="6"/>
  <c r="D50" i="6"/>
  <c r="C50" i="6"/>
  <c r="B50" i="6"/>
  <c r="F50" i="6" s="1"/>
  <c r="E49" i="6"/>
  <c r="D49" i="6"/>
  <c r="C49" i="6"/>
  <c r="B49" i="6"/>
  <c r="F49" i="6" s="1"/>
  <c r="E48" i="6"/>
  <c r="D48" i="6"/>
  <c r="C48" i="6"/>
  <c r="B48" i="6"/>
  <c r="F48" i="6" s="1"/>
  <c r="E47" i="6"/>
  <c r="D47" i="6"/>
  <c r="C47" i="6"/>
  <c r="B47" i="6"/>
  <c r="F47" i="6" s="1"/>
  <c r="E46" i="6"/>
  <c r="D46" i="6"/>
  <c r="C46" i="6"/>
  <c r="B46" i="6"/>
  <c r="F46" i="6" s="1"/>
  <c r="E45" i="6"/>
  <c r="D45" i="6"/>
  <c r="C45" i="6"/>
  <c r="B45" i="6"/>
  <c r="F45" i="6" s="1"/>
  <c r="E44" i="6"/>
  <c r="D44" i="6"/>
  <c r="C44" i="6"/>
  <c r="B44" i="6"/>
  <c r="F44" i="6" s="1"/>
  <c r="E43" i="6"/>
  <c r="D43" i="6"/>
  <c r="C43" i="6"/>
  <c r="B43" i="6"/>
  <c r="F43" i="6" s="1"/>
  <c r="E42" i="6"/>
  <c r="D42" i="6"/>
  <c r="C42" i="6"/>
  <c r="B42" i="6"/>
  <c r="F42" i="6" s="1"/>
  <c r="E41" i="6"/>
  <c r="D41" i="6"/>
  <c r="C41" i="6"/>
  <c r="B41" i="6"/>
  <c r="F41" i="6" s="1"/>
  <c r="E40" i="6"/>
  <c r="D40" i="6"/>
  <c r="C40" i="6"/>
  <c r="B40" i="6"/>
  <c r="F40" i="6" s="1"/>
  <c r="E39" i="6"/>
  <c r="D39" i="6"/>
  <c r="C39" i="6"/>
  <c r="B39" i="6"/>
  <c r="F39" i="6" s="1"/>
  <c r="E38" i="6"/>
  <c r="D38" i="6"/>
  <c r="C38" i="6"/>
  <c r="B38" i="6"/>
  <c r="F38" i="6" s="1"/>
  <c r="E37" i="6"/>
  <c r="D37" i="6"/>
  <c r="C37" i="6"/>
  <c r="B37" i="6"/>
  <c r="F37" i="6" s="1"/>
  <c r="E36" i="6"/>
  <c r="D36" i="6"/>
  <c r="C36" i="6"/>
  <c r="B36" i="6"/>
  <c r="F36" i="6" s="1"/>
  <c r="E35" i="6"/>
  <c r="D35" i="6"/>
  <c r="C35" i="6"/>
  <c r="B35" i="6"/>
  <c r="F35" i="6" s="1"/>
  <c r="E34" i="6"/>
  <c r="D34" i="6"/>
  <c r="C34" i="6"/>
  <c r="B34" i="6"/>
  <c r="F34" i="6" s="1"/>
  <c r="E33" i="6"/>
  <c r="D33" i="6"/>
  <c r="C33" i="6"/>
  <c r="B33" i="6"/>
  <c r="F33" i="6" s="1"/>
  <c r="E32" i="6"/>
  <c r="D32" i="6"/>
  <c r="C32" i="6"/>
  <c r="B32" i="6"/>
  <c r="F32" i="6" s="1"/>
  <c r="E31" i="6"/>
  <c r="D31" i="6"/>
  <c r="C31" i="6"/>
  <c r="B31" i="6"/>
  <c r="F31" i="6" s="1"/>
  <c r="E30" i="6"/>
  <c r="D30" i="6"/>
  <c r="C30" i="6"/>
  <c r="B30" i="6"/>
  <c r="F30" i="6" s="1"/>
  <c r="E29" i="6"/>
  <c r="D29" i="6"/>
  <c r="C29" i="6"/>
  <c r="B29" i="6"/>
  <c r="F29" i="6" s="1"/>
  <c r="E28" i="6"/>
  <c r="D28" i="6"/>
  <c r="C28" i="6"/>
  <c r="B28" i="6"/>
  <c r="F28" i="6" s="1"/>
  <c r="E27" i="6"/>
  <c r="D27" i="6"/>
  <c r="C27" i="6"/>
  <c r="B27" i="6"/>
  <c r="F27" i="6" s="1"/>
  <c r="E26" i="6"/>
  <c r="D26" i="6"/>
  <c r="C26" i="6"/>
  <c r="B26" i="6"/>
  <c r="F26" i="6" s="1"/>
  <c r="E25" i="6"/>
  <c r="D25" i="6"/>
  <c r="C25" i="6"/>
  <c r="B25" i="6"/>
  <c r="F25" i="6" s="1"/>
  <c r="E24" i="6"/>
  <c r="D24" i="6"/>
  <c r="C24" i="6"/>
  <c r="B24" i="6"/>
  <c r="F24" i="6" s="1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5" i="6"/>
  <c r="D5" i="6"/>
  <c r="F504" i="5"/>
  <c r="E504" i="5"/>
  <c r="F503" i="5"/>
  <c r="E503" i="5"/>
  <c r="F502" i="5"/>
  <c r="E502" i="5"/>
  <c r="F501" i="5"/>
  <c r="E501" i="5"/>
  <c r="F500" i="5"/>
  <c r="E500" i="5"/>
  <c r="F499" i="5"/>
  <c r="E499" i="5"/>
  <c r="F498" i="5"/>
  <c r="E498" i="5"/>
  <c r="F497" i="5"/>
  <c r="E497" i="5"/>
  <c r="F496" i="5"/>
  <c r="E496" i="5"/>
  <c r="F495" i="5"/>
  <c r="E495" i="5"/>
  <c r="F494" i="5"/>
  <c r="E494" i="5"/>
  <c r="F493" i="5"/>
  <c r="E493" i="5"/>
  <c r="F492" i="5"/>
  <c r="E492" i="5"/>
  <c r="F491" i="5"/>
  <c r="E491" i="5"/>
  <c r="F490" i="5"/>
  <c r="E490" i="5"/>
  <c r="F489" i="5"/>
  <c r="E489" i="5"/>
  <c r="F488" i="5"/>
  <c r="E488" i="5"/>
  <c r="F487" i="5"/>
  <c r="E487" i="5"/>
  <c r="F486" i="5"/>
  <c r="E486" i="5"/>
  <c r="F485" i="5"/>
  <c r="E485" i="5"/>
  <c r="F484" i="5"/>
  <c r="E484" i="5"/>
  <c r="F483" i="5"/>
  <c r="E483" i="5"/>
  <c r="F482" i="5"/>
  <c r="E482" i="5"/>
  <c r="F481" i="5"/>
  <c r="E481" i="5"/>
  <c r="F480" i="5"/>
  <c r="E480" i="5"/>
  <c r="F479" i="5"/>
  <c r="E479" i="5"/>
  <c r="F478" i="5"/>
  <c r="E478" i="5"/>
  <c r="F477" i="5"/>
  <c r="E477" i="5"/>
  <c r="F476" i="5"/>
  <c r="E476" i="5"/>
  <c r="F475" i="5"/>
  <c r="E475" i="5"/>
  <c r="F474" i="5"/>
  <c r="E474" i="5"/>
  <c r="F473" i="5"/>
  <c r="E473" i="5"/>
  <c r="F472" i="5"/>
  <c r="E472" i="5"/>
  <c r="F471" i="5"/>
  <c r="E471" i="5"/>
  <c r="F470" i="5"/>
  <c r="E470" i="5"/>
  <c r="F469" i="5"/>
  <c r="E469" i="5"/>
  <c r="F468" i="5"/>
  <c r="E468" i="5"/>
  <c r="F467" i="5"/>
  <c r="E467" i="5"/>
  <c r="F466" i="5"/>
  <c r="E466" i="5"/>
  <c r="F465" i="5"/>
  <c r="E465" i="5"/>
  <c r="F464" i="5"/>
  <c r="E464" i="5"/>
  <c r="F463" i="5"/>
  <c r="E463" i="5"/>
  <c r="F462" i="5"/>
  <c r="E462" i="5"/>
  <c r="F461" i="5"/>
  <c r="E461" i="5"/>
  <c r="F460" i="5"/>
  <c r="E460" i="5"/>
  <c r="F459" i="5"/>
  <c r="E459" i="5"/>
  <c r="F458" i="5"/>
  <c r="E458" i="5"/>
  <c r="F457" i="5"/>
  <c r="E457" i="5"/>
  <c r="F456" i="5"/>
  <c r="E456" i="5"/>
  <c r="F455" i="5"/>
  <c r="E455" i="5"/>
  <c r="F454" i="5"/>
  <c r="E454" i="5"/>
  <c r="F453" i="5"/>
  <c r="E453" i="5"/>
  <c r="F452" i="5"/>
  <c r="E452" i="5"/>
  <c r="F451" i="5"/>
  <c r="E451" i="5"/>
  <c r="F450" i="5"/>
  <c r="E450" i="5"/>
  <c r="F449" i="5"/>
  <c r="E449" i="5"/>
  <c r="F448" i="5"/>
  <c r="E448" i="5"/>
  <c r="F447" i="5"/>
  <c r="E447" i="5"/>
  <c r="F446" i="5"/>
  <c r="E446" i="5"/>
  <c r="F445" i="5"/>
  <c r="E445" i="5"/>
  <c r="F444" i="5"/>
  <c r="E444" i="5"/>
  <c r="F443" i="5"/>
  <c r="E443" i="5"/>
  <c r="F442" i="5"/>
  <c r="E442" i="5"/>
  <c r="F441" i="5"/>
  <c r="E441" i="5"/>
  <c r="F440" i="5"/>
  <c r="E440" i="5"/>
  <c r="F439" i="5"/>
  <c r="E439" i="5"/>
  <c r="F438" i="5"/>
  <c r="E438" i="5"/>
  <c r="F437" i="5"/>
  <c r="E437" i="5"/>
  <c r="F436" i="5"/>
  <c r="E436" i="5"/>
  <c r="F435" i="5"/>
  <c r="E435" i="5"/>
  <c r="F434" i="5"/>
  <c r="E434" i="5"/>
  <c r="F433" i="5"/>
  <c r="E433" i="5"/>
  <c r="F432" i="5"/>
  <c r="E432" i="5"/>
  <c r="F431" i="5"/>
  <c r="E431" i="5"/>
  <c r="F430" i="5"/>
  <c r="E430" i="5"/>
  <c r="F429" i="5"/>
  <c r="E429" i="5"/>
  <c r="F428" i="5"/>
  <c r="E428" i="5"/>
  <c r="F427" i="5"/>
  <c r="E427" i="5"/>
  <c r="F426" i="5"/>
  <c r="E426" i="5"/>
  <c r="F425" i="5"/>
  <c r="E425" i="5"/>
  <c r="F424" i="5"/>
  <c r="E424" i="5"/>
  <c r="F423" i="5"/>
  <c r="E423" i="5"/>
  <c r="F422" i="5"/>
  <c r="E422" i="5"/>
  <c r="F421" i="5"/>
  <c r="E421" i="5"/>
  <c r="F420" i="5"/>
  <c r="E420" i="5"/>
  <c r="F419" i="5"/>
  <c r="E419" i="5"/>
  <c r="F418" i="5"/>
  <c r="E418" i="5"/>
  <c r="F417" i="5"/>
  <c r="E417" i="5"/>
  <c r="F416" i="5"/>
  <c r="E416" i="5"/>
  <c r="F415" i="5"/>
  <c r="E415" i="5"/>
  <c r="F414" i="5"/>
  <c r="E414" i="5"/>
  <c r="F413" i="5"/>
  <c r="E413" i="5"/>
  <c r="F412" i="5"/>
  <c r="E412" i="5"/>
  <c r="F411" i="5"/>
  <c r="E411" i="5"/>
  <c r="F410" i="5"/>
  <c r="E410" i="5"/>
  <c r="F409" i="5"/>
  <c r="E409" i="5"/>
  <c r="F408" i="5"/>
  <c r="E408" i="5"/>
  <c r="F407" i="5"/>
  <c r="E407" i="5"/>
  <c r="F406" i="5"/>
  <c r="E406" i="5"/>
  <c r="F405" i="5"/>
  <c r="E405" i="5"/>
  <c r="F404" i="5"/>
  <c r="E404" i="5"/>
  <c r="F403" i="5"/>
  <c r="E403" i="5"/>
  <c r="F402" i="5"/>
  <c r="E402" i="5"/>
  <c r="F401" i="5"/>
  <c r="E401" i="5"/>
  <c r="F400" i="5"/>
  <c r="E400" i="5"/>
  <c r="F399" i="5"/>
  <c r="E399" i="5"/>
  <c r="F398" i="5"/>
  <c r="E398" i="5"/>
  <c r="F397" i="5"/>
  <c r="E397" i="5"/>
  <c r="F396" i="5"/>
  <c r="E396" i="5"/>
  <c r="F395" i="5"/>
  <c r="E395" i="5"/>
  <c r="F394" i="5"/>
  <c r="E394" i="5"/>
  <c r="F393" i="5"/>
  <c r="E393" i="5"/>
  <c r="F392" i="5"/>
  <c r="E392" i="5"/>
  <c r="F391" i="5"/>
  <c r="E391" i="5"/>
  <c r="F390" i="5"/>
  <c r="E390" i="5"/>
  <c r="F389" i="5"/>
  <c r="E389" i="5"/>
  <c r="F388" i="5"/>
  <c r="E388" i="5"/>
  <c r="F387" i="5"/>
  <c r="E387" i="5"/>
  <c r="F386" i="5"/>
  <c r="E386" i="5"/>
  <c r="F385" i="5"/>
  <c r="E385" i="5"/>
  <c r="F384" i="5"/>
  <c r="E384" i="5"/>
  <c r="F383" i="5"/>
  <c r="E383" i="5"/>
  <c r="F382" i="5"/>
  <c r="E382" i="5"/>
  <c r="F381" i="5"/>
  <c r="E381" i="5"/>
  <c r="F380" i="5"/>
  <c r="E380" i="5"/>
  <c r="F379" i="5"/>
  <c r="E379" i="5"/>
  <c r="F378" i="5"/>
  <c r="E378" i="5"/>
  <c r="F377" i="5"/>
  <c r="E377" i="5"/>
  <c r="F376" i="5"/>
  <c r="E376" i="5"/>
  <c r="F375" i="5"/>
  <c r="E375" i="5"/>
  <c r="F374" i="5"/>
  <c r="E374" i="5"/>
  <c r="F373" i="5"/>
  <c r="E373" i="5"/>
  <c r="F372" i="5"/>
  <c r="E372" i="5"/>
  <c r="F371" i="5"/>
  <c r="E371" i="5"/>
  <c r="F370" i="5"/>
  <c r="E370" i="5"/>
  <c r="F369" i="5"/>
  <c r="E369" i="5"/>
  <c r="F368" i="5"/>
  <c r="E368" i="5"/>
  <c r="F367" i="5"/>
  <c r="E367" i="5"/>
  <c r="F366" i="5"/>
  <c r="E366" i="5"/>
  <c r="F365" i="5"/>
  <c r="E365" i="5"/>
  <c r="F364" i="5"/>
  <c r="E364" i="5"/>
  <c r="F363" i="5"/>
  <c r="E363" i="5"/>
  <c r="F362" i="5"/>
  <c r="E362" i="5"/>
  <c r="F361" i="5"/>
  <c r="E361" i="5"/>
  <c r="F360" i="5"/>
  <c r="E360" i="5"/>
  <c r="F359" i="5"/>
  <c r="E359" i="5"/>
  <c r="F358" i="5"/>
  <c r="E358" i="5"/>
  <c r="F357" i="5"/>
  <c r="E357" i="5"/>
  <c r="F356" i="5"/>
  <c r="E356" i="5"/>
  <c r="F355" i="5"/>
  <c r="E355" i="5"/>
  <c r="F354" i="5"/>
  <c r="E354" i="5"/>
  <c r="F353" i="5"/>
  <c r="E353" i="5"/>
  <c r="F352" i="5"/>
  <c r="E352" i="5"/>
  <c r="F351" i="5"/>
  <c r="E351" i="5"/>
  <c r="F350" i="5"/>
  <c r="E350" i="5"/>
  <c r="F349" i="5"/>
  <c r="E349" i="5"/>
  <c r="F348" i="5"/>
  <c r="E348" i="5"/>
  <c r="F347" i="5"/>
  <c r="E347" i="5"/>
  <c r="F346" i="5"/>
  <c r="E346" i="5"/>
  <c r="F345" i="5"/>
  <c r="E345" i="5"/>
  <c r="F344" i="5"/>
  <c r="E344" i="5"/>
  <c r="F343" i="5"/>
  <c r="E343" i="5"/>
  <c r="F342" i="5"/>
  <c r="E342" i="5"/>
  <c r="F341" i="5"/>
  <c r="E341" i="5"/>
  <c r="F340" i="5"/>
  <c r="E340" i="5"/>
  <c r="F339" i="5"/>
  <c r="E339" i="5"/>
  <c r="F338" i="5"/>
  <c r="E338" i="5"/>
  <c r="F337" i="5"/>
  <c r="E337" i="5"/>
  <c r="F336" i="5"/>
  <c r="E336" i="5"/>
  <c r="F335" i="5"/>
  <c r="E335" i="5"/>
  <c r="F334" i="5"/>
  <c r="E334" i="5"/>
  <c r="F333" i="5"/>
  <c r="E333" i="5"/>
  <c r="F332" i="5"/>
  <c r="E332" i="5"/>
  <c r="F331" i="5"/>
  <c r="E331" i="5"/>
  <c r="F330" i="5"/>
  <c r="E330" i="5"/>
  <c r="F329" i="5"/>
  <c r="E329" i="5"/>
  <c r="F328" i="5"/>
  <c r="E328" i="5"/>
  <c r="F327" i="5"/>
  <c r="E327" i="5"/>
  <c r="F326" i="5"/>
  <c r="E326" i="5"/>
  <c r="F325" i="5"/>
  <c r="E325" i="5"/>
  <c r="F324" i="5"/>
  <c r="E324" i="5"/>
  <c r="F323" i="5"/>
  <c r="E323" i="5"/>
  <c r="F322" i="5"/>
  <c r="E322" i="5"/>
  <c r="F321" i="5"/>
  <c r="E321" i="5"/>
  <c r="F320" i="5"/>
  <c r="E320" i="5"/>
  <c r="F319" i="5"/>
  <c r="E319" i="5"/>
  <c r="F318" i="5"/>
  <c r="E318" i="5"/>
  <c r="F317" i="5"/>
  <c r="E317" i="5"/>
  <c r="F316" i="5"/>
  <c r="E316" i="5"/>
  <c r="F315" i="5"/>
  <c r="E315" i="5"/>
  <c r="F314" i="5"/>
  <c r="E314" i="5"/>
  <c r="F313" i="5"/>
  <c r="E313" i="5"/>
  <c r="F312" i="5"/>
  <c r="E312" i="5"/>
  <c r="F311" i="5"/>
  <c r="E311" i="5"/>
  <c r="F310" i="5"/>
  <c r="E310" i="5"/>
  <c r="F309" i="5"/>
  <c r="E309" i="5"/>
  <c r="F308" i="5"/>
  <c r="E308" i="5"/>
  <c r="F307" i="5"/>
  <c r="E307" i="5"/>
  <c r="F306" i="5"/>
  <c r="E306" i="5"/>
  <c r="F305" i="5"/>
  <c r="E305" i="5"/>
  <c r="F304" i="5"/>
  <c r="E304" i="5"/>
  <c r="F303" i="5"/>
  <c r="E303" i="5"/>
  <c r="F302" i="5"/>
  <c r="E302" i="5"/>
  <c r="F301" i="5"/>
  <c r="E301" i="5"/>
  <c r="F300" i="5"/>
  <c r="E300" i="5"/>
  <c r="F299" i="5"/>
  <c r="E299" i="5"/>
  <c r="F298" i="5"/>
  <c r="E298" i="5"/>
  <c r="F297" i="5"/>
  <c r="E297" i="5"/>
  <c r="F296" i="5"/>
  <c r="E296" i="5"/>
  <c r="F295" i="5"/>
  <c r="E295" i="5"/>
  <c r="F294" i="5"/>
  <c r="E294" i="5"/>
  <c r="F293" i="5"/>
  <c r="E293" i="5"/>
  <c r="F292" i="5"/>
  <c r="E292" i="5"/>
  <c r="F291" i="5"/>
  <c r="E291" i="5"/>
  <c r="F290" i="5"/>
  <c r="E290" i="5"/>
  <c r="F289" i="5"/>
  <c r="E289" i="5"/>
  <c r="F288" i="5"/>
  <c r="E288" i="5"/>
  <c r="F287" i="5"/>
  <c r="E287" i="5"/>
  <c r="F286" i="5"/>
  <c r="E286" i="5"/>
  <c r="F285" i="5"/>
  <c r="E285" i="5"/>
  <c r="F284" i="5"/>
  <c r="E284" i="5"/>
  <c r="F283" i="5"/>
  <c r="E283" i="5"/>
  <c r="F282" i="5"/>
  <c r="E282" i="5"/>
  <c r="F281" i="5"/>
  <c r="E281" i="5"/>
  <c r="F280" i="5"/>
  <c r="E280" i="5"/>
  <c r="F279" i="5"/>
  <c r="E279" i="5"/>
  <c r="F278" i="5"/>
  <c r="E278" i="5"/>
  <c r="F277" i="5"/>
  <c r="E277" i="5"/>
  <c r="F276" i="5"/>
  <c r="E276" i="5"/>
  <c r="F275" i="5"/>
  <c r="E275" i="5"/>
  <c r="F274" i="5"/>
  <c r="E274" i="5"/>
  <c r="F273" i="5"/>
  <c r="E273" i="5"/>
  <c r="F272" i="5"/>
  <c r="E272" i="5"/>
  <c r="F271" i="5"/>
  <c r="E271" i="5"/>
  <c r="F270" i="5"/>
  <c r="E270" i="5"/>
  <c r="F269" i="5"/>
  <c r="E269" i="5"/>
  <c r="F268" i="5"/>
  <c r="E268" i="5"/>
  <c r="F267" i="5"/>
  <c r="E267" i="5"/>
  <c r="F266" i="5"/>
  <c r="E266" i="5"/>
  <c r="F265" i="5"/>
  <c r="E265" i="5"/>
  <c r="F264" i="5"/>
  <c r="E264" i="5"/>
  <c r="F263" i="5"/>
  <c r="E263" i="5"/>
  <c r="F262" i="5"/>
  <c r="E262" i="5"/>
  <c r="F261" i="5"/>
  <c r="E261" i="5"/>
  <c r="F260" i="5"/>
  <c r="E260" i="5"/>
  <c r="F259" i="5"/>
  <c r="E259" i="5"/>
  <c r="F258" i="5"/>
  <c r="E258" i="5"/>
  <c r="F257" i="5"/>
  <c r="E257" i="5"/>
  <c r="F256" i="5"/>
  <c r="E256" i="5"/>
  <c r="F255" i="5"/>
  <c r="E255" i="5"/>
  <c r="F254" i="5"/>
  <c r="E254" i="5"/>
  <c r="F253" i="5"/>
  <c r="E253" i="5"/>
  <c r="F252" i="5"/>
  <c r="E252" i="5"/>
  <c r="F251" i="5"/>
  <c r="E251" i="5"/>
  <c r="F250" i="5"/>
  <c r="E250" i="5"/>
  <c r="F249" i="5"/>
  <c r="E249" i="5"/>
  <c r="F248" i="5"/>
  <c r="E248" i="5"/>
  <c r="F247" i="5"/>
  <c r="E247" i="5"/>
  <c r="F246" i="5"/>
  <c r="E246" i="5"/>
  <c r="F245" i="5"/>
  <c r="E245" i="5"/>
  <c r="F244" i="5"/>
  <c r="E244" i="5"/>
  <c r="F243" i="5"/>
  <c r="E243" i="5"/>
  <c r="F242" i="5"/>
  <c r="E242" i="5"/>
  <c r="F241" i="5"/>
  <c r="E241" i="5"/>
  <c r="F240" i="5"/>
  <c r="E240" i="5"/>
  <c r="F239" i="5"/>
  <c r="E239" i="5"/>
  <c r="F238" i="5"/>
  <c r="E238" i="5"/>
  <c r="F237" i="5"/>
  <c r="E237" i="5"/>
  <c r="F236" i="5"/>
  <c r="E236" i="5"/>
  <c r="F235" i="5"/>
  <c r="E235" i="5"/>
  <c r="F234" i="5"/>
  <c r="E234" i="5"/>
  <c r="F233" i="5"/>
  <c r="E233" i="5"/>
  <c r="F232" i="5"/>
  <c r="E232" i="5"/>
  <c r="F231" i="5"/>
  <c r="E231" i="5"/>
  <c r="F230" i="5"/>
  <c r="E230" i="5"/>
  <c r="F229" i="5"/>
  <c r="E229" i="5"/>
  <c r="F228" i="5"/>
  <c r="E228" i="5"/>
  <c r="F227" i="5"/>
  <c r="E227" i="5"/>
  <c r="F226" i="5"/>
  <c r="E226" i="5"/>
  <c r="F225" i="5"/>
  <c r="E225" i="5"/>
  <c r="F224" i="5"/>
  <c r="E224" i="5"/>
  <c r="F223" i="5"/>
  <c r="E223" i="5"/>
  <c r="F222" i="5"/>
  <c r="E222" i="5"/>
  <c r="F221" i="5"/>
  <c r="E221" i="5"/>
  <c r="F220" i="5"/>
  <c r="E220" i="5"/>
  <c r="F219" i="5"/>
  <c r="E219" i="5"/>
  <c r="F218" i="5"/>
  <c r="E218" i="5"/>
  <c r="F217" i="5"/>
  <c r="E217" i="5"/>
  <c r="F216" i="5"/>
  <c r="E216" i="5"/>
  <c r="F215" i="5"/>
  <c r="E215" i="5"/>
  <c r="F214" i="5"/>
  <c r="E214" i="5"/>
  <c r="F213" i="5"/>
  <c r="E213" i="5"/>
  <c r="F212" i="5"/>
  <c r="E212" i="5"/>
  <c r="F211" i="5"/>
  <c r="E211" i="5"/>
  <c r="F210" i="5"/>
  <c r="E210" i="5"/>
  <c r="F209" i="5"/>
  <c r="E209" i="5"/>
  <c r="F208" i="5"/>
  <c r="E208" i="5"/>
  <c r="F207" i="5"/>
  <c r="E207" i="5"/>
  <c r="F206" i="5"/>
  <c r="E206" i="5"/>
  <c r="F205" i="5"/>
  <c r="E205" i="5"/>
  <c r="F204" i="5"/>
  <c r="E204" i="5"/>
  <c r="F203" i="5"/>
  <c r="E203" i="5"/>
  <c r="F202" i="5"/>
  <c r="E202" i="5"/>
  <c r="F201" i="5"/>
  <c r="E201" i="5"/>
  <c r="F200" i="5"/>
  <c r="E200" i="5"/>
  <c r="F199" i="5"/>
  <c r="E199" i="5"/>
  <c r="F198" i="5"/>
  <c r="E198" i="5"/>
  <c r="F197" i="5"/>
  <c r="E197" i="5"/>
  <c r="F196" i="5"/>
  <c r="E196" i="5"/>
  <c r="F195" i="5"/>
  <c r="E195" i="5"/>
  <c r="F194" i="5"/>
  <c r="E194" i="5"/>
  <c r="F193" i="5"/>
  <c r="E193" i="5"/>
  <c r="F192" i="5"/>
  <c r="E192" i="5"/>
  <c r="F191" i="5"/>
  <c r="E191" i="5"/>
  <c r="F190" i="5"/>
  <c r="E190" i="5"/>
  <c r="F189" i="5"/>
  <c r="E189" i="5"/>
  <c r="F188" i="5"/>
  <c r="E188" i="5"/>
  <c r="F187" i="5"/>
  <c r="E187" i="5"/>
  <c r="F186" i="5"/>
  <c r="E186" i="5"/>
  <c r="F185" i="5"/>
  <c r="E185" i="5"/>
  <c r="F184" i="5"/>
  <c r="E184" i="5"/>
  <c r="F183" i="5"/>
  <c r="E183" i="5"/>
  <c r="F182" i="5"/>
  <c r="E182" i="5"/>
  <c r="F181" i="5"/>
  <c r="E181" i="5"/>
  <c r="F180" i="5"/>
  <c r="E180" i="5"/>
  <c r="F179" i="5"/>
  <c r="E179" i="5"/>
  <c r="F178" i="5"/>
  <c r="E178" i="5"/>
  <c r="F177" i="5"/>
  <c r="E177" i="5"/>
  <c r="F176" i="5"/>
  <c r="E176" i="5"/>
  <c r="F175" i="5"/>
  <c r="E175" i="5"/>
  <c r="F174" i="5"/>
  <c r="E174" i="5"/>
  <c r="F173" i="5"/>
  <c r="E173" i="5"/>
  <c r="F172" i="5"/>
  <c r="E172" i="5"/>
  <c r="F171" i="5"/>
  <c r="E171" i="5"/>
  <c r="F170" i="5"/>
  <c r="E170" i="5"/>
  <c r="F169" i="5"/>
  <c r="E169" i="5"/>
  <c r="F168" i="5"/>
  <c r="E168" i="5"/>
  <c r="F167" i="5"/>
  <c r="E167" i="5"/>
  <c r="F166" i="5"/>
  <c r="E166" i="5"/>
  <c r="F165" i="5"/>
  <c r="E165" i="5"/>
  <c r="F164" i="5"/>
  <c r="E164" i="5"/>
  <c r="F163" i="5"/>
  <c r="E163" i="5"/>
  <c r="F162" i="5"/>
  <c r="E162" i="5"/>
  <c r="F161" i="5"/>
  <c r="E161" i="5"/>
  <c r="F160" i="5"/>
  <c r="E160" i="5"/>
  <c r="F159" i="5"/>
  <c r="E159" i="5"/>
  <c r="F158" i="5"/>
  <c r="E158" i="5"/>
  <c r="F157" i="5"/>
  <c r="E157" i="5"/>
  <c r="F156" i="5"/>
  <c r="E156" i="5"/>
  <c r="F155" i="5"/>
  <c r="E155" i="5"/>
  <c r="F154" i="5"/>
  <c r="E154" i="5"/>
  <c r="F153" i="5"/>
  <c r="E153" i="5"/>
  <c r="F152" i="5"/>
  <c r="E152" i="5"/>
  <c r="F151" i="5"/>
  <c r="E151" i="5"/>
  <c r="F150" i="5"/>
  <c r="E150" i="5"/>
  <c r="F149" i="5"/>
  <c r="E149" i="5"/>
  <c r="F148" i="5"/>
  <c r="E148" i="5"/>
  <c r="F147" i="5"/>
  <c r="E147" i="5"/>
  <c r="F146" i="5"/>
  <c r="E146" i="5"/>
  <c r="F145" i="5"/>
  <c r="E145" i="5"/>
  <c r="F144" i="5"/>
  <c r="E144" i="5"/>
  <c r="F143" i="5"/>
  <c r="E143" i="5"/>
  <c r="F142" i="5"/>
  <c r="E142" i="5"/>
  <c r="F141" i="5"/>
  <c r="E141" i="5"/>
  <c r="F140" i="5"/>
  <c r="E140" i="5"/>
  <c r="F139" i="5"/>
  <c r="E139" i="5"/>
  <c r="F138" i="5"/>
  <c r="E138" i="5"/>
  <c r="F137" i="5"/>
  <c r="E137" i="5"/>
  <c r="F136" i="5"/>
  <c r="E136" i="5"/>
  <c r="F135" i="5"/>
  <c r="E135" i="5"/>
  <c r="F134" i="5"/>
  <c r="E134" i="5"/>
  <c r="F133" i="5"/>
  <c r="E133" i="5"/>
  <c r="F132" i="5"/>
  <c r="E132" i="5"/>
  <c r="F131" i="5"/>
  <c r="E131" i="5"/>
  <c r="F130" i="5"/>
  <c r="E130" i="5"/>
  <c r="F129" i="5"/>
  <c r="E129" i="5"/>
  <c r="F128" i="5"/>
  <c r="E128" i="5"/>
  <c r="F127" i="5"/>
  <c r="E127" i="5"/>
  <c r="F126" i="5"/>
  <c r="E126" i="5"/>
  <c r="F125" i="5"/>
  <c r="E125" i="5"/>
  <c r="F124" i="5"/>
  <c r="E124" i="5"/>
  <c r="F123" i="5"/>
  <c r="E123" i="5"/>
  <c r="F122" i="5"/>
  <c r="E122" i="5"/>
  <c r="F121" i="5"/>
  <c r="E121" i="5"/>
  <c r="F120" i="5"/>
  <c r="E120" i="5"/>
  <c r="F119" i="5"/>
  <c r="E119" i="5"/>
  <c r="F118" i="5"/>
  <c r="E118" i="5"/>
  <c r="F117" i="5"/>
  <c r="E117" i="5"/>
  <c r="F116" i="5"/>
  <c r="E116" i="5"/>
  <c r="F115" i="5"/>
  <c r="E115" i="5"/>
  <c r="F114" i="5"/>
  <c r="E114" i="5"/>
  <c r="F113" i="5"/>
  <c r="E113" i="5"/>
  <c r="F112" i="5"/>
  <c r="E112" i="5"/>
  <c r="F111" i="5"/>
  <c r="E111" i="5"/>
  <c r="F110" i="5"/>
  <c r="E110" i="5"/>
  <c r="F109" i="5"/>
  <c r="E109" i="5"/>
  <c r="F108" i="5"/>
  <c r="E108" i="5"/>
  <c r="F107" i="5"/>
  <c r="E107" i="5"/>
  <c r="F106" i="5"/>
  <c r="E106" i="5"/>
  <c r="F105" i="5"/>
  <c r="E105" i="5"/>
  <c r="F104" i="5"/>
  <c r="E104" i="5"/>
  <c r="F103" i="5"/>
  <c r="E103" i="5"/>
  <c r="F102" i="5"/>
  <c r="E102" i="5"/>
  <c r="F101" i="5"/>
  <c r="E101" i="5"/>
  <c r="F100" i="5"/>
  <c r="E100" i="5"/>
  <c r="F99" i="5"/>
  <c r="E99" i="5"/>
  <c r="F98" i="5"/>
  <c r="E98" i="5"/>
  <c r="F97" i="5"/>
  <c r="E97" i="5"/>
  <c r="F96" i="5"/>
  <c r="E96" i="5"/>
  <c r="F95" i="5"/>
  <c r="E95" i="5"/>
  <c r="F94" i="5"/>
  <c r="E94" i="5"/>
  <c r="F93" i="5"/>
  <c r="E93" i="5"/>
  <c r="F92" i="5"/>
  <c r="E92" i="5"/>
  <c r="F91" i="5"/>
  <c r="E91" i="5"/>
  <c r="F90" i="5"/>
  <c r="E90" i="5"/>
  <c r="F89" i="5"/>
  <c r="E89" i="5"/>
  <c r="F88" i="5"/>
  <c r="E88" i="5"/>
  <c r="F87" i="5"/>
  <c r="E87" i="5"/>
  <c r="F86" i="5"/>
  <c r="E86" i="5"/>
  <c r="F85" i="5"/>
  <c r="E85" i="5"/>
  <c r="F84" i="5"/>
  <c r="E84" i="5"/>
  <c r="F83" i="5"/>
  <c r="E83" i="5"/>
  <c r="F82" i="5"/>
  <c r="E82" i="5"/>
  <c r="F81" i="5"/>
  <c r="E81" i="5"/>
  <c r="F80" i="5"/>
  <c r="E80" i="5"/>
  <c r="F79" i="5"/>
  <c r="E79" i="5"/>
  <c r="F78" i="5"/>
  <c r="E78" i="5"/>
  <c r="F77" i="5"/>
  <c r="E77" i="5"/>
  <c r="F76" i="5"/>
  <c r="E76" i="5"/>
  <c r="F75" i="5"/>
  <c r="E75" i="5"/>
  <c r="F74" i="5"/>
  <c r="E74" i="5"/>
  <c r="F73" i="5"/>
  <c r="E73" i="5"/>
  <c r="F72" i="5"/>
  <c r="E72" i="5"/>
  <c r="F71" i="5"/>
  <c r="E71" i="5"/>
  <c r="F70" i="5"/>
  <c r="E70" i="5"/>
  <c r="F69" i="5"/>
  <c r="E69" i="5"/>
  <c r="F68" i="5"/>
  <c r="E68" i="5"/>
  <c r="F67" i="5"/>
  <c r="E67" i="5"/>
  <c r="F66" i="5"/>
  <c r="E66" i="5"/>
  <c r="F65" i="5"/>
  <c r="E65" i="5"/>
  <c r="F64" i="5"/>
  <c r="E64" i="5"/>
  <c r="F63" i="5"/>
  <c r="E63" i="5"/>
  <c r="F62" i="5"/>
  <c r="E62" i="5"/>
  <c r="F61" i="5"/>
  <c r="E61" i="5"/>
  <c r="F60" i="5"/>
  <c r="E60" i="5"/>
  <c r="F59" i="5"/>
  <c r="E59" i="5"/>
  <c r="F58" i="5"/>
  <c r="E58" i="5"/>
  <c r="F57" i="5"/>
  <c r="E57" i="5"/>
  <c r="F56" i="5"/>
  <c r="E56" i="5"/>
  <c r="F55" i="5"/>
  <c r="E55" i="5"/>
  <c r="F54" i="5"/>
  <c r="E54" i="5"/>
  <c r="F53" i="5"/>
  <c r="E53" i="5"/>
  <c r="F52" i="5"/>
  <c r="E52" i="5"/>
  <c r="F51" i="5"/>
  <c r="E51" i="5"/>
  <c r="F50" i="5"/>
  <c r="E50" i="5"/>
  <c r="F49" i="5"/>
  <c r="E49" i="5"/>
  <c r="F48" i="5"/>
  <c r="E48" i="5"/>
  <c r="F47" i="5"/>
  <c r="E47" i="5"/>
  <c r="F46" i="5"/>
  <c r="E46" i="5"/>
  <c r="F45" i="5"/>
  <c r="E45" i="5"/>
  <c r="F44" i="5"/>
  <c r="E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F33" i="5"/>
  <c r="E33" i="5"/>
  <c r="F32" i="5"/>
  <c r="E32" i="5"/>
  <c r="F31" i="5"/>
  <c r="E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H445" i="3"/>
  <c r="F445" i="3"/>
  <c r="E445" i="3"/>
  <c r="G445" i="3" s="1"/>
  <c r="H444" i="3"/>
  <c r="F444" i="3"/>
  <c r="E444" i="3"/>
  <c r="G444" i="3" s="1"/>
  <c r="H443" i="3"/>
  <c r="F443" i="3"/>
  <c r="E443" i="3"/>
  <c r="G443" i="3" s="1"/>
  <c r="H442" i="3"/>
  <c r="F442" i="3"/>
  <c r="E442" i="3"/>
  <c r="G442" i="3" s="1"/>
  <c r="H441" i="3"/>
  <c r="F441" i="3"/>
  <c r="E441" i="3"/>
  <c r="G441" i="3" s="1"/>
  <c r="H440" i="3"/>
  <c r="F440" i="3"/>
  <c r="E440" i="3"/>
  <c r="G440" i="3" s="1"/>
  <c r="H439" i="3"/>
  <c r="F439" i="3"/>
  <c r="E439" i="3"/>
  <c r="G439" i="3" s="1"/>
  <c r="H438" i="3"/>
  <c r="F438" i="3"/>
  <c r="E438" i="3"/>
  <c r="G438" i="3" s="1"/>
  <c r="H437" i="3"/>
  <c r="F437" i="3"/>
  <c r="E437" i="3"/>
  <c r="G437" i="3" s="1"/>
  <c r="H436" i="3"/>
  <c r="F436" i="3"/>
  <c r="E436" i="3"/>
  <c r="G436" i="3" s="1"/>
  <c r="H435" i="3"/>
  <c r="F435" i="3"/>
  <c r="E435" i="3"/>
  <c r="G435" i="3" s="1"/>
  <c r="H434" i="3"/>
  <c r="F434" i="3"/>
  <c r="E434" i="3"/>
  <c r="G434" i="3" s="1"/>
  <c r="H433" i="3"/>
  <c r="F433" i="3"/>
  <c r="E433" i="3"/>
  <c r="G433" i="3" s="1"/>
  <c r="H432" i="3"/>
  <c r="F432" i="3"/>
  <c r="E432" i="3"/>
  <c r="G432" i="3" s="1"/>
  <c r="H431" i="3"/>
  <c r="F431" i="3"/>
  <c r="E431" i="3"/>
  <c r="G431" i="3" s="1"/>
  <c r="H430" i="3"/>
  <c r="F430" i="3"/>
  <c r="E430" i="3"/>
  <c r="G430" i="3" s="1"/>
  <c r="H429" i="3"/>
  <c r="F429" i="3"/>
  <c r="E429" i="3"/>
  <c r="G429" i="3" s="1"/>
  <c r="H428" i="3"/>
  <c r="F428" i="3"/>
  <c r="E428" i="3"/>
  <c r="G428" i="3" s="1"/>
  <c r="H427" i="3"/>
  <c r="F427" i="3"/>
  <c r="E427" i="3"/>
  <c r="G427" i="3" s="1"/>
  <c r="H426" i="3"/>
  <c r="F426" i="3"/>
  <c r="E426" i="3"/>
  <c r="G426" i="3" s="1"/>
  <c r="H425" i="3"/>
  <c r="F425" i="3"/>
  <c r="E425" i="3"/>
  <c r="G425" i="3" s="1"/>
  <c r="H424" i="3"/>
  <c r="F424" i="3"/>
  <c r="E424" i="3"/>
  <c r="G424" i="3" s="1"/>
  <c r="H423" i="3"/>
  <c r="F423" i="3"/>
  <c r="E423" i="3"/>
  <c r="G423" i="3" s="1"/>
  <c r="H422" i="3"/>
  <c r="F422" i="3"/>
  <c r="E422" i="3"/>
  <c r="G422" i="3" s="1"/>
  <c r="H421" i="3"/>
  <c r="F421" i="3"/>
  <c r="E421" i="3"/>
  <c r="G421" i="3" s="1"/>
  <c r="H420" i="3"/>
  <c r="F420" i="3"/>
  <c r="E420" i="3"/>
  <c r="G420" i="3" s="1"/>
  <c r="H419" i="3"/>
  <c r="F419" i="3"/>
  <c r="E419" i="3"/>
  <c r="G419" i="3" s="1"/>
  <c r="H418" i="3"/>
  <c r="F418" i="3"/>
  <c r="E418" i="3"/>
  <c r="G418" i="3" s="1"/>
  <c r="H417" i="3"/>
  <c r="F417" i="3"/>
  <c r="E417" i="3"/>
  <c r="G417" i="3" s="1"/>
  <c r="H416" i="3"/>
  <c r="F416" i="3"/>
  <c r="E416" i="3"/>
  <c r="G416" i="3" s="1"/>
  <c r="H415" i="3"/>
  <c r="F415" i="3"/>
  <c r="E415" i="3"/>
  <c r="G415" i="3" s="1"/>
  <c r="H414" i="3"/>
  <c r="F414" i="3"/>
  <c r="E414" i="3"/>
  <c r="G414" i="3" s="1"/>
  <c r="H413" i="3"/>
  <c r="F413" i="3"/>
  <c r="E413" i="3"/>
  <c r="G413" i="3" s="1"/>
  <c r="H412" i="3"/>
  <c r="F412" i="3"/>
  <c r="E412" i="3"/>
  <c r="G412" i="3" s="1"/>
  <c r="H411" i="3"/>
  <c r="F411" i="3"/>
  <c r="E411" i="3"/>
  <c r="G411" i="3" s="1"/>
  <c r="H410" i="3"/>
  <c r="F410" i="3"/>
  <c r="E410" i="3"/>
  <c r="G410" i="3" s="1"/>
  <c r="H409" i="3"/>
  <c r="F409" i="3"/>
  <c r="E409" i="3"/>
  <c r="G409" i="3" s="1"/>
  <c r="H408" i="3"/>
  <c r="F408" i="3"/>
  <c r="E408" i="3"/>
  <c r="G408" i="3" s="1"/>
  <c r="H407" i="3"/>
  <c r="F407" i="3"/>
  <c r="E407" i="3"/>
  <c r="G407" i="3" s="1"/>
  <c r="H406" i="3"/>
  <c r="F406" i="3"/>
  <c r="E406" i="3"/>
  <c r="G406" i="3" s="1"/>
  <c r="H405" i="3"/>
  <c r="F405" i="3"/>
  <c r="E405" i="3"/>
  <c r="G405" i="3" s="1"/>
  <c r="H404" i="3"/>
  <c r="F404" i="3"/>
  <c r="E404" i="3"/>
  <c r="G404" i="3" s="1"/>
  <c r="H403" i="3"/>
  <c r="F403" i="3"/>
  <c r="E403" i="3"/>
  <c r="G403" i="3" s="1"/>
  <c r="H402" i="3"/>
  <c r="F402" i="3"/>
  <c r="E402" i="3"/>
  <c r="G402" i="3" s="1"/>
  <c r="H401" i="3"/>
  <c r="F401" i="3"/>
  <c r="E401" i="3"/>
  <c r="G401" i="3" s="1"/>
  <c r="H400" i="3"/>
  <c r="F400" i="3"/>
  <c r="E400" i="3"/>
  <c r="G400" i="3" s="1"/>
  <c r="H399" i="3"/>
  <c r="F399" i="3"/>
  <c r="E399" i="3"/>
  <c r="G399" i="3" s="1"/>
  <c r="H398" i="3"/>
  <c r="F398" i="3"/>
  <c r="E398" i="3"/>
  <c r="G398" i="3" s="1"/>
  <c r="H397" i="3"/>
  <c r="F397" i="3"/>
  <c r="E397" i="3"/>
  <c r="G397" i="3" s="1"/>
  <c r="H396" i="3"/>
  <c r="F396" i="3"/>
  <c r="E396" i="3"/>
  <c r="G396" i="3" s="1"/>
  <c r="H395" i="3"/>
  <c r="F395" i="3"/>
  <c r="E395" i="3"/>
  <c r="G395" i="3" s="1"/>
  <c r="H394" i="3"/>
  <c r="F394" i="3"/>
  <c r="E394" i="3"/>
  <c r="G394" i="3" s="1"/>
  <c r="H393" i="3"/>
  <c r="F393" i="3"/>
  <c r="E393" i="3"/>
  <c r="G393" i="3" s="1"/>
  <c r="H392" i="3"/>
  <c r="F392" i="3"/>
  <c r="E392" i="3"/>
  <c r="G392" i="3" s="1"/>
  <c r="H391" i="3"/>
  <c r="F391" i="3"/>
  <c r="E391" i="3"/>
  <c r="G391" i="3" s="1"/>
  <c r="H390" i="3"/>
  <c r="F390" i="3"/>
  <c r="E390" i="3"/>
  <c r="G390" i="3" s="1"/>
  <c r="H389" i="3"/>
  <c r="F389" i="3"/>
  <c r="E389" i="3"/>
  <c r="G389" i="3" s="1"/>
  <c r="H388" i="3"/>
  <c r="F388" i="3"/>
  <c r="E388" i="3"/>
  <c r="G388" i="3" s="1"/>
  <c r="H387" i="3"/>
  <c r="F387" i="3"/>
  <c r="E387" i="3"/>
  <c r="G387" i="3" s="1"/>
  <c r="H386" i="3"/>
  <c r="F386" i="3"/>
  <c r="E386" i="3"/>
  <c r="G386" i="3" s="1"/>
  <c r="H385" i="3"/>
  <c r="F385" i="3"/>
  <c r="E385" i="3"/>
  <c r="G385" i="3" s="1"/>
  <c r="H384" i="3"/>
  <c r="F384" i="3"/>
  <c r="E384" i="3"/>
  <c r="G384" i="3" s="1"/>
  <c r="H383" i="3"/>
  <c r="F383" i="3"/>
  <c r="E383" i="3"/>
  <c r="G383" i="3" s="1"/>
  <c r="H382" i="3"/>
  <c r="F382" i="3"/>
  <c r="E382" i="3"/>
  <c r="G382" i="3" s="1"/>
  <c r="H381" i="3"/>
  <c r="F381" i="3"/>
  <c r="E381" i="3"/>
  <c r="G381" i="3" s="1"/>
  <c r="H380" i="3"/>
  <c r="F380" i="3"/>
  <c r="E380" i="3"/>
  <c r="G380" i="3" s="1"/>
  <c r="H379" i="3"/>
  <c r="F379" i="3"/>
  <c r="E379" i="3"/>
  <c r="G379" i="3" s="1"/>
  <c r="H378" i="3"/>
  <c r="F378" i="3"/>
  <c r="E378" i="3"/>
  <c r="G378" i="3" s="1"/>
  <c r="H377" i="3"/>
  <c r="F377" i="3"/>
  <c r="E377" i="3"/>
  <c r="G377" i="3" s="1"/>
  <c r="H376" i="3"/>
  <c r="F376" i="3"/>
  <c r="E376" i="3"/>
  <c r="G376" i="3" s="1"/>
  <c r="H375" i="3"/>
  <c r="F375" i="3"/>
  <c r="E375" i="3"/>
  <c r="G375" i="3" s="1"/>
  <c r="H374" i="3"/>
  <c r="F374" i="3"/>
  <c r="E374" i="3"/>
  <c r="G374" i="3" s="1"/>
  <c r="H373" i="3"/>
  <c r="F373" i="3"/>
  <c r="E373" i="3"/>
  <c r="G373" i="3" s="1"/>
  <c r="H372" i="3"/>
  <c r="F372" i="3"/>
  <c r="E372" i="3"/>
  <c r="G372" i="3" s="1"/>
  <c r="H371" i="3"/>
  <c r="F371" i="3"/>
  <c r="E371" i="3"/>
  <c r="G371" i="3" s="1"/>
  <c r="H370" i="3"/>
  <c r="F370" i="3"/>
  <c r="E370" i="3"/>
  <c r="G370" i="3" s="1"/>
  <c r="H369" i="3"/>
  <c r="F369" i="3"/>
  <c r="E369" i="3"/>
  <c r="G369" i="3" s="1"/>
  <c r="H368" i="3"/>
  <c r="F368" i="3"/>
  <c r="E368" i="3"/>
  <c r="G368" i="3" s="1"/>
  <c r="H367" i="3"/>
  <c r="F367" i="3"/>
  <c r="E367" i="3"/>
  <c r="G367" i="3" s="1"/>
  <c r="H366" i="3"/>
  <c r="F366" i="3"/>
  <c r="E366" i="3"/>
  <c r="G366" i="3" s="1"/>
  <c r="H365" i="3"/>
  <c r="F365" i="3"/>
  <c r="E365" i="3"/>
  <c r="G365" i="3" s="1"/>
  <c r="H364" i="3"/>
  <c r="F364" i="3"/>
  <c r="E364" i="3"/>
  <c r="G364" i="3" s="1"/>
  <c r="H363" i="3"/>
  <c r="F363" i="3"/>
  <c r="E363" i="3"/>
  <c r="G363" i="3" s="1"/>
  <c r="H362" i="3"/>
  <c r="F362" i="3"/>
  <c r="E362" i="3"/>
  <c r="G362" i="3" s="1"/>
  <c r="H361" i="3"/>
  <c r="F361" i="3"/>
  <c r="E361" i="3"/>
  <c r="G361" i="3" s="1"/>
  <c r="H360" i="3"/>
  <c r="F360" i="3"/>
  <c r="E360" i="3"/>
  <c r="G360" i="3" s="1"/>
  <c r="H359" i="3"/>
  <c r="F359" i="3"/>
  <c r="E359" i="3"/>
  <c r="G359" i="3" s="1"/>
  <c r="H358" i="3"/>
  <c r="F358" i="3"/>
  <c r="E358" i="3"/>
  <c r="G358" i="3" s="1"/>
  <c r="H357" i="3"/>
  <c r="F357" i="3"/>
  <c r="E357" i="3"/>
  <c r="G357" i="3" s="1"/>
  <c r="H356" i="3"/>
  <c r="F356" i="3"/>
  <c r="E356" i="3"/>
  <c r="G356" i="3" s="1"/>
  <c r="H355" i="3"/>
  <c r="F355" i="3"/>
  <c r="E355" i="3"/>
  <c r="G355" i="3" s="1"/>
  <c r="H354" i="3"/>
  <c r="F354" i="3"/>
  <c r="E354" i="3"/>
  <c r="G354" i="3" s="1"/>
  <c r="H353" i="3"/>
  <c r="F353" i="3"/>
  <c r="E353" i="3"/>
  <c r="G353" i="3" s="1"/>
  <c r="H352" i="3"/>
  <c r="F352" i="3"/>
  <c r="E352" i="3"/>
  <c r="G352" i="3" s="1"/>
  <c r="H351" i="3"/>
  <c r="F351" i="3"/>
  <c r="E351" i="3"/>
  <c r="G351" i="3" s="1"/>
  <c r="H350" i="3"/>
  <c r="F350" i="3"/>
  <c r="E350" i="3"/>
  <c r="G350" i="3" s="1"/>
  <c r="H349" i="3"/>
  <c r="F349" i="3"/>
  <c r="E349" i="3"/>
  <c r="G349" i="3" s="1"/>
  <c r="H348" i="3"/>
  <c r="F348" i="3"/>
  <c r="E348" i="3"/>
  <c r="G348" i="3" s="1"/>
  <c r="H347" i="3"/>
  <c r="F347" i="3"/>
  <c r="E347" i="3"/>
  <c r="G347" i="3" s="1"/>
  <c r="H346" i="3"/>
  <c r="F346" i="3"/>
  <c r="E346" i="3"/>
  <c r="G346" i="3" s="1"/>
  <c r="H345" i="3"/>
  <c r="F345" i="3"/>
  <c r="E345" i="3"/>
  <c r="G345" i="3" s="1"/>
  <c r="H344" i="3"/>
  <c r="F344" i="3"/>
  <c r="E344" i="3"/>
  <c r="G344" i="3" s="1"/>
  <c r="H343" i="3"/>
  <c r="F343" i="3"/>
  <c r="E343" i="3"/>
  <c r="G343" i="3" s="1"/>
  <c r="H342" i="3"/>
  <c r="F342" i="3"/>
  <c r="E342" i="3"/>
  <c r="G342" i="3" s="1"/>
  <c r="H341" i="3"/>
  <c r="F341" i="3"/>
  <c r="E341" i="3"/>
  <c r="G341" i="3" s="1"/>
  <c r="H340" i="3"/>
  <c r="F340" i="3"/>
  <c r="E340" i="3"/>
  <c r="G340" i="3" s="1"/>
  <c r="H339" i="3"/>
  <c r="F339" i="3"/>
  <c r="E339" i="3"/>
  <c r="G339" i="3" s="1"/>
  <c r="H338" i="3"/>
  <c r="F338" i="3"/>
  <c r="E338" i="3"/>
  <c r="G338" i="3" s="1"/>
  <c r="H337" i="3"/>
  <c r="F337" i="3"/>
  <c r="E337" i="3"/>
  <c r="G337" i="3" s="1"/>
  <c r="H336" i="3"/>
  <c r="F336" i="3"/>
  <c r="E336" i="3"/>
  <c r="G336" i="3" s="1"/>
  <c r="H335" i="3"/>
  <c r="F335" i="3"/>
  <c r="E335" i="3"/>
  <c r="G335" i="3" s="1"/>
  <c r="H334" i="3"/>
  <c r="F334" i="3"/>
  <c r="E334" i="3"/>
  <c r="G334" i="3" s="1"/>
  <c r="H333" i="3"/>
  <c r="F333" i="3"/>
  <c r="E333" i="3"/>
  <c r="G333" i="3" s="1"/>
  <c r="H332" i="3"/>
  <c r="F332" i="3"/>
  <c r="E332" i="3"/>
  <c r="G332" i="3" s="1"/>
  <c r="H331" i="3"/>
  <c r="F331" i="3"/>
  <c r="E331" i="3"/>
  <c r="G331" i="3" s="1"/>
  <c r="H330" i="3"/>
  <c r="F330" i="3"/>
  <c r="E330" i="3"/>
  <c r="G330" i="3" s="1"/>
  <c r="H329" i="3"/>
  <c r="F329" i="3"/>
  <c r="E329" i="3"/>
  <c r="G329" i="3" s="1"/>
  <c r="H328" i="3"/>
  <c r="F328" i="3"/>
  <c r="E328" i="3"/>
  <c r="G328" i="3" s="1"/>
  <c r="H327" i="3"/>
  <c r="F327" i="3"/>
  <c r="E327" i="3"/>
  <c r="G327" i="3" s="1"/>
  <c r="H326" i="3"/>
  <c r="F326" i="3"/>
  <c r="E326" i="3"/>
  <c r="G326" i="3" s="1"/>
  <c r="H325" i="3"/>
  <c r="F325" i="3"/>
  <c r="E325" i="3"/>
  <c r="G325" i="3" s="1"/>
  <c r="H324" i="3"/>
  <c r="F324" i="3"/>
  <c r="E324" i="3"/>
  <c r="G324" i="3" s="1"/>
  <c r="H323" i="3"/>
  <c r="F323" i="3"/>
  <c r="E323" i="3"/>
  <c r="G323" i="3" s="1"/>
  <c r="H322" i="3"/>
  <c r="F322" i="3"/>
  <c r="E322" i="3"/>
  <c r="G322" i="3" s="1"/>
  <c r="H321" i="3"/>
  <c r="F321" i="3"/>
  <c r="E321" i="3"/>
  <c r="G321" i="3" s="1"/>
  <c r="H320" i="3"/>
  <c r="F320" i="3"/>
  <c r="E320" i="3"/>
  <c r="G320" i="3" s="1"/>
  <c r="H319" i="3"/>
  <c r="F319" i="3"/>
  <c r="E319" i="3"/>
  <c r="G319" i="3" s="1"/>
  <c r="H318" i="3"/>
  <c r="F318" i="3"/>
  <c r="E318" i="3"/>
  <c r="G318" i="3" s="1"/>
  <c r="H317" i="3"/>
  <c r="F317" i="3"/>
  <c r="E317" i="3"/>
  <c r="G317" i="3" s="1"/>
  <c r="H316" i="3"/>
  <c r="F316" i="3"/>
  <c r="E316" i="3"/>
  <c r="G316" i="3" s="1"/>
  <c r="H315" i="3"/>
  <c r="F315" i="3"/>
  <c r="E315" i="3"/>
  <c r="G315" i="3" s="1"/>
  <c r="H314" i="3"/>
  <c r="F314" i="3"/>
  <c r="E314" i="3"/>
  <c r="G314" i="3" s="1"/>
  <c r="H313" i="3"/>
  <c r="F313" i="3"/>
  <c r="E313" i="3"/>
  <c r="G313" i="3" s="1"/>
  <c r="H312" i="3"/>
  <c r="F312" i="3"/>
  <c r="E312" i="3"/>
  <c r="G312" i="3" s="1"/>
  <c r="C23" i="6"/>
  <c r="B23" i="6"/>
  <c r="B22" i="6"/>
  <c r="C22" i="6"/>
  <c r="B21" i="6"/>
  <c r="C21" i="6"/>
  <c r="B20" i="6"/>
  <c r="C20" i="6"/>
  <c r="C19" i="6"/>
  <c r="B19" i="6"/>
  <c r="B18" i="6"/>
  <c r="C18" i="6"/>
  <c r="B17" i="6"/>
  <c r="C17" i="6"/>
  <c r="B16" i="6"/>
  <c r="C16" i="6"/>
  <c r="C15" i="6"/>
  <c r="B15" i="6"/>
  <c r="B14" i="6"/>
  <c r="C14" i="6"/>
  <c r="B13" i="6"/>
  <c r="C13" i="6"/>
  <c r="B12" i="6"/>
  <c r="C12" i="6"/>
  <c r="C11" i="6"/>
  <c r="B11" i="6"/>
  <c r="B10" i="6"/>
  <c r="C10" i="6"/>
  <c r="B9" i="6"/>
  <c r="C9" i="6"/>
  <c r="B8" i="6"/>
  <c r="C8" i="6"/>
  <c r="B7" i="6"/>
  <c r="C7" i="6"/>
  <c r="B6" i="6"/>
  <c r="C6" i="6"/>
  <c r="C5" i="6"/>
  <c r="B5" i="6"/>
  <c r="E18" i="1"/>
  <c r="E17" i="1"/>
  <c r="E16" i="1"/>
  <c r="E13" i="1"/>
  <c r="E8" i="1"/>
  <c r="E6" i="1"/>
  <c r="F23" i="6" l="1"/>
  <c r="F22" i="6"/>
  <c r="F21" i="6"/>
  <c r="H119" i="1"/>
  <c r="H123" i="1"/>
  <c r="L2" i="5"/>
  <c r="F20" i="6"/>
  <c r="F19" i="6"/>
  <c r="F18" i="6"/>
  <c r="J11" i="10"/>
  <c r="F17" i="6"/>
  <c r="H127" i="1"/>
  <c r="F16" i="6"/>
  <c r="F15" i="6"/>
  <c r="F14" i="6"/>
  <c r="F13" i="6"/>
  <c r="F12" i="6"/>
  <c r="F11" i="6"/>
  <c r="B13" i="2"/>
  <c r="F10" i="6"/>
  <c r="H8" i="1"/>
  <c r="H18" i="1"/>
  <c r="H117" i="1"/>
  <c r="H121" i="1"/>
  <c r="H125" i="1"/>
  <c r="H128" i="1"/>
  <c r="H118" i="1"/>
  <c r="H122" i="1"/>
  <c r="H126" i="1"/>
  <c r="H116" i="1"/>
  <c r="H120" i="1"/>
  <c r="H124" i="1"/>
  <c r="H129" i="1"/>
  <c r="H130" i="1"/>
  <c r="F9" i="6"/>
  <c r="F8" i="6"/>
  <c r="F7" i="6"/>
  <c r="F6" i="6"/>
  <c r="H13" i="1"/>
  <c r="H6" i="1"/>
  <c r="H16" i="1"/>
  <c r="H17" i="1"/>
  <c r="F5" i="6"/>
  <c r="C4" i="7"/>
  <c r="A4" i="7"/>
  <c r="H31" i="1" l="1"/>
  <c r="H136" i="1"/>
</calcChain>
</file>

<file path=xl/sharedStrings.xml><?xml version="1.0" encoding="utf-8"?>
<sst xmlns="http://schemas.openxmlformats.org/spreadsheetml/2006/main" count="894" uniqueCount="128">
  <si>
    <t>ANAS FISH STORE - STOCK</t>
  </si>
  <si>
    <t>Fish Name</t>
  </si>
  <si>
    <t>Unit</t>
  </si>
  <si>
    <t>Current Stock</t>
  </si>
  <si>
    <t>Total Stock Cost</t>
  </si>
  <si>
    <t>Sold</t>
  </si>
  <si>
    <t>Remaining Stock</t>
  </si>
  <si>
    <t>Current Stock Value</t>
  </si>
  <si>
    <t>Last Purchase Qty</t>
  </si>
  <si>
    <t>Last Purchase Price</t>
  </si>
  <si>
    <t>Rui 1Up</t>
  </si>
  <si>
    <t>Kg</t>
  </si>
  <si>
    <t>Rui 15 - 20</t>
  </si>
  <si>
    <t>Rui 2Up</t>
  </si>
  <si>
    <t>Rui 4Up</t>
  </si>
  <si>
    <t>Pangas 15 - 20</t>
  </si>
  <si>
    <t>Pangas 2Up</t>
  </si>
  <si>
    <t>Keski</t>
  </si>
  <si>
    <t>Packets</t>
  </si>
  <si>
    <t>Loitta</t>
  </si>
  <si>
    <t>Hilsha 3-5</t>
  </si>
  <si>
    <t>Pabda Blk Big</t>
  </si>
  <si>
    <t>Puti Loos 1/2</t>
  </si>
  <si>
    <t>Carpu Fish 1Up</t>
  </si>
  <si>
    <t>Chicken Small</t>
  </si>
  <si>
    <t>Pcs</t>
  </si>
  <si>
    <t>Chicken Big</t>
  </si>
  <si>
    <t>Beef</t>
  </si>
  <si>
    <t>ANAS FISH STORE - SALES ENTRY</t>
  </si>
  <si>
    <t>Date</t>
  </si>
  <si>
    <t>Quantity</t>
  </si>
  <si>
    <t>Selling Price / Unit</t>
  </si>
  <si>
    <t>Total Sale</t>
  </si>
  <si>
    <t>Gross Profit</t>
  </si>
  <si>
    <t>ANAS FISH STORE - SALES LOG</t>
  </si>
  <si>
    <t>Purchase Price / Unit</t>
  </si>
  <si>
    <t>ANAS FISH STORE - PURCHASE ENTRY</t>
  </si>
  <si>
    <t>Quantity Purchased</t>
  </si>
  <si>
    <t>Total Purchase Cost</t>
  </si>
  <si>
    <t>ANAS FISH STORE - PURCHASE LOG</t>
  </si>
  <si>
    <t>Total Cost</t>
  </si>
  <si>
    <t>ANAS FISH STORE - DAILY SUMMARY</t>
  </si>
  <si>
    <t>Total Sales</t>
  </si>
  <si>
    <t>Total Gross Profit</t>
  </si>
  <si>
    <t>Total Quantity</t>
  </si>
  <si>
    <t>Number of Sales</t>
  </si>
  <si>
    <t>Profit Margin</t>
  </si>
  <si>
    <t>ANAS FISH STORE - DASHBOARD</t>
  </si>
  <si>
    <t>Total Stock Value</t>
  </si>
  <si>
    <t>Total kg/Pack</t>
  </si>
  <si>
    <t>Total Sale Amount</t>
  </si>
  <si>
    <t>abdul</t>
  </si>
  <si>
    <t>Rakib</t>
  </si>
  <si>
    <t>mac babot</t>
  </si>
  <si>
    <t>hawlat</t>
  </si>
  <si>
    <t>Name</t>
  </si>
  <si>
    <t>Amout</t>
  </si>
  <si>
    <t>Babot</t>
  </si>
  <si>
    <t>Mamu</t>
  </si>
  <si>
    <t>cur bil babot</t>
  </si>
  <si>
    <t>Dokan</t>
  </si>
  <si>
    <t>Khoroc</t>
  </si>
  <si>
    <t>Poa</t>
  </si>
  <si>
    <t>Srimp Try</t>
  </si>
  <si>
    <t>Shoil 1Up</t>
  </si>
  <si>
    <t>Hilsha 2/5 p</t>
  </si>
  <si>
    <t>Baim L</t>
  </si>
  <si>
    <t xml:space="preserve">Mahmudul </t>
  </si>
  <si>
    <t>bolodia tk</t>
  </si>
  <si>
    <t>mac baki</t>
  </si>
  <si>
    <t>rakib</t>
  </si>
  <si>
    <t>ajij bkash</t>
  </si>
  <si>
    <t>Pangas 3Up</t>
  </si>
  <si>
    <t>Shing Loos</t>
  </si>
  <si>
    <t>Telapia 8-10</t>
  </si>
  <si>
    <t>tamara</t>
  </si>
  <si>
    <t>loos</t>
  </si>
  <si>
    <t>mamu</t>
  </si>
  <si>
    <t>baki</t>
  </si>
  <si>
    <t>75 hajar</t>
  </si>
  <si>
    <t>shamim</t>
  </si>
  <si>
    <t>Mahmudul vi</t>
  </si>
  <si>
    <t>rupm vai</t>
  </si>
  <si>
    <t>net babot + hils</t>
  </si>
  <si>
    <t>cash ace</t>
  </si>
  <si>
    <t>sales</t>
  </si>
  <si>
    <t>mal nisi</t>
  </si>
  <si>
    <t>date</t>
  </si>
  <si>
    <t>gap</t>
  </si>
  <si>
    <t>total stock price</t>
  </si>
  <si>
    <t>Remening Stok</t>
  </si>
  <si>
    <t>Total sals</t>
  </si>
  <si>
    <t>Profit</t>
  </si>
  <si>
    <t>মাছের নাম</t>
  </si>
  <si>
    <t>ক্রয় মূল্য / একক</t>
  </si>
  <si>
    <t>রুই ১ আপ</t>
  </si>
  <si>
    <t>রুই ১৫ - ২০</t>
  </si>
  <si>
    <t>রুই ২ আপ</t>
  </si>
  <si>
    <t>রুই ৪ আপ</t>
  </si>
  <si>
    <t>পাঙ্গাস ১৫ - ২০</t>
  </si>
  <si>
    <t>পাঙ্গাস ২ আপ</t>
  </si>
  <si>
    <t>পাঙ্গাস ৩ আপ</t>
  </si>
  <si>
    <t>কেশকি</t>
  </si>
  <si>
    <t>লইট্টা</t>
  </si>
  <si>
    <t>ইলিশ ৩ - ৫</t>
  </si>
  <si>
    <t>ইলিশ ২/৫ পি</t>
  </si>
  <si>
    <t>পাবদা ব্ল্যাক বড়</t>
  </si>
  <si>
    <t>পুঁটি লুজ ১/২</t>
  </si>
  <si>
    <t>কার্পু মাছ ১ আপ</t>
  </si>
  <si>
    <t>মুরগি ছোট</t>
  </si>
  <si>
    <t>মুরগি বড়</t>
  </si>
  <si>
    <t>গরুর মাংস</t>
  </si>
  <si>
    <t>পোয়া</t>
  </si>
  <si>
    <t>শোল ১ আপ</t>
  </si>
  <si>
    <t>বাইম L</t>
  </si>
  <si>
    <t>শিং লুজ</t>
  </si>
  <si>
    <t>তেলাপিয়া ৮ - ১০</t>
  </si>
  <si>
    <t>চিংড়ি ট্রাই</t>
  </si>
  <si>
    <t>26-30</t>
  </si>
  <si>
    <t>RAKIB</t>
  </si>
  <si>
    <t>iqama</t>
  </si>
  <si>
    <t>kys+khata</t>
  </si>
  <si>
    <t>Hawlat</t>
  </si>
  <si>
    <t>alom</t>
  </si>
  <si>
    <t>apel</t>
  </si>
  <si>
    <t>khucra</t>
  </si>
  <si>
    <t>new hotel</t>
  </si>
  <si>
    <t>hridoy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</si>
</sst>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</font>
    <font>
      <b/>
      <sz val="18"/>
      <color theme="0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</font>
    <font>
      <sz val="20"/>
      <color theme="1"/>
      <name val="Calibri"/>
      <family val="2"/>
      <scheme val="minor"/>
    </font>
    <font>
      <b/>
      <sz val="16"/>
      <color rgb="FF006100"/>
      <name val="Calibri"/>
      <family val="2"/>
      <scheme val="minor"/>
    </font>
    <font>
      <i/>
      <sz val="18"/>
      <color rgb="FFFA7D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1" applyNumberFormat="0" applyAlignment="0" applyProtection="0"/>
    <xf numFmtId="0" fontId="5" fillId="5" borderId="0" applyNumberFormat="0" applyBorder="0" applyAlignment="0" applyProtection="0"/>
  </cellStyleXfs>
  <cellXfs count="72">
    <xf numFmtId="0" fontId="0" fillId="0" borderId="0" xfId="0"/>
    <xf numFmtId="14" fontId="0" fillId="0" borderId="0" xfId="0" applyNumberFormat="1"/>
    <xf numFmtId="0" fontId="0" fillId="0" borderId="2" xfId="0" applyBorder="1"/>
    <xf numFmtId="0" fontId="0" fillId="0" borderId="0" xfId="0" applyAlignment="1">
      <alignment horizontal="center"/>
    </xf>
    <xf numFmtId="0" fontId="10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14" fontId="2" fillId="0" borderId="2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14" fontId="0" fillId="0" borderId="2" xfId="0" applyNumberFormat="1" applyBorder="1"/>
    <xf numFmtId="0" fontId="14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3" fillId="0" borderId="0" xfId="0" applyFont="1" applyAlignment="1">
      <alignment vertical="center"/>
    </xf>
    <xf numFmtId="0" fontId="5" fillId="5" borderId="2" xfId="4" applyBorder="1"/>
    <xf numFmtId="0" fontId="13" fillId="8" borderId="2" xfId="0" applyFont="1" applyFill="1" applyBorder="1"/>
    <xf numFmtId="2" fontId="17" fillId="2" borderId="0" xfId="1" applyNumberFormat="1" applyFont="1"/>
    <xf numFmtId="2" fontId="5" fillId="5" borderId="2" xfId="4" applyNumberFormat="1" applyBorder="1"/>
    <xf numFmtId="0" fontId="14" fillId="3" borderId="0" xfId="2" applyFont="1"/>
    <xf numFmtId="0" fontId="18" fillId="4" borderId="1" xfId="3" applyFont="1"/>
    <xf numFmtId="2" fontId="18" fillId="4" borderId="1" xfId="3" applyNumberFormat="1" applyFont="1"/>
    <xf numFmtId="0" fontId="19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2" fontId="0" fillId="0" borderId="2" xfId="0" applyNumberFormat="1" applyBorder="1"/>
    <xf numFmtId="0" fontId="10" fillId="9" borderId="2" xfId="0" applyFont="1" applyFill="1" applyBorder="1" applyAlignment="1">
      <alignment horizontal="center"/>
    </xf>
    <xf numFmtId="164" fontId="10" fillId="9" borderId="2" xfId="0" applyNumberFormat="1" applyFont="1" applyFill="1" applyBorder="1" applyAlignment="1">
      <alignment horizontal="center"/>
    </xf>
    <xf numFmtId="4" fontId="10" fillId="9" borderId="2" xfId="0" applyNumberFormat="1" applyFont="1" applyFill="1" applyBorder="1" applyAlignment="1">
      <alignment horizontal="center"/>
    </xf>
    <xf numFmtId="164" fontId="10" fillId="10" borderId="2" xfId="0" applyNumberFormat="1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4" fontId="10" fillId="10" borderId="2" xfId="0" applyNumberFormat="1" applyFont="1" applyFill="1" applyBorder="1" applyAlignment="1">
      <alignment horizontal="center"/>
    </xf>
    <xf numFmtId="164" fontId="10" fillId="11" borderId="2" xfId="0" applyNumberFormat="1" applyFont="1" applyFill="1" applyBorder="1" applyAlignment="1">
      <alignment horizontal="center"/>
    </xf>
    <xf numFmtId="0" fontId="10" fillId="11" borderId="2" xfId="0" applyFont="1" applyFill="1" applyBorder="1" applyAlignment="1">
      <alignment horizontal="center"/>
    </xf>
    <xf numFmtId="4" fontId="10" fillId="11" borderId="2" xfId="0" applyNumberFormat="1" applyFont="1" applyFill="1" applyBorder="1" applyAlignment="1">
      <alignment horizontal="center"/>
    </xf>
    <xf numFmtId="0" fontId="20" fillId="9" borderId="2" xfId="0" applyFont="1" applyFill="1" applyBorder="1" applyAlignment="1">
      <alignment horizontal="center"/>
    </xf>
    <xf numFmtId="2" fontId="0" fillId="0" borderId="0" xfId="0" applyNumberFormat="1"/>
    <xf numFmtId="164" fontId="10" fillId="12" borderId="2" xfId="0" applyNumberFormat="1" applyFont="1" applyFill="1" applyBorder="1" applyAlignment="1">
      <alignment horizontal="center"/>
    </xf>
    <xf numFmtId="0" fontId="10" fillId="12" borderId="2" xfId="0" applyFont="1" applyFill="1" applyBorder="1" applyAlignment="1">
      <alignment horizontal="center"/>
    </xf>
    <xf numFmtId="4" fontId="10" fillId="12" borderId="2" xfId="0" applyNumberFormat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0" fillId="13" borderId="2" xfId="0" applyFill="1" applyBorder="1"/>
    <xf numFmtId="0" fontId="13" fillId="13" borderId="2" xfId="0" applyFont="1" applyFill="1" applyBorder="1"/>
    <xf numFmtId="0" fontId="13" fillId="0" borderId="0" xfId="0" applyFont="1"/>
    <xf numFmtId="164" fontId="0" fillId="13" borderId="2" xfId="0" applyNumberFormat="1" applyFill="1" applyBorder="1"/>
    <xf numFmtId="164" fontId="18" fillId="4" borderId="1" xfId="3" applyNumberFormat="1" applyFont="1"/>
    <xf numFmtId="164" fontId="0" fillId="0" borderId="2" xfId="0" applyNumberFormat="1" applyBorder="1"/>
    <xf numFmtId="4" fontId="0" fillId="0" borderId="2" xfId="0" applyNumberFormat="1" applyBorder="1"/>
    <xf numFmtId="2" fontId="13" fillId="8" borderId="2" xfId="0" applyNumberFormat="1" applyFont="1" applyFill="1" applyBorder="1"/>
    <xf numFmtId="16" fontId="0" fillId="0" borderId="0" xfId="0" applyNumberFormat="1"/>
    <xf numFmtId="0" fontId="22" fillId="0" borderId="0" xfId="0" applyFont="1" applyAlignment="1">
      <alignment horizontal="center"/>
    </xf>
    <xf numFmtId="0" fontId="23" fillId="6" borderId="0" xfId="0" applyFont="1" applyFill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0" fontId="12" fillId="7" borderId="0" xfId="0" applyFont="1" applyFill="1" applyAlignment="1">
      <alignment horizontal="center"/>
    </xf>
    <xf numFmtId="0" fontId="9" fillId="7" borderId="0" xfId="0" applyFont="1" applyFill="1"/>
    <xf numFmtId="0" fontId="12" fillId="7" borderId="2" xfId="0" applyFont="1" applyFill="1" applyBorder="1" applyAlignment="1">
      <alignment horizontal="center"/>
    </xf>
    <xf numFmtId="0" fontId="9" fillId="7" borderId="2" xfId="0" applyFont="1" applyFill="1" applyBorder="1"/>
    <xf numFmtId="0" fontId="15" fillId="0" borderId="0" xfId="0" applyFont="1" applyAlignment="1">
      <alignment horizontal="center"/>
    </xf>
    <xf numFmtId="0" fontId="16" fillId="0" borderId="0" xfId="0" applyFont="1"/>
    <xf numFmtId="2" fontId="16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1" fillId="6" borderId="2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9" fillId="0" borderId="0" xfId="0" applyFont="1" applyAlignment="1">
      <alignment horizontal="center"/>
    </xf>
  </cellXfs>
  <cellStyles count="5">
    <cellStyle name="20% - Accent5" xfId="4" builtinId="46"/>
    <cellStyle name="Calculation" xfId="3" builtinId="22"/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6/relationships/vbaProject" Target="vbaProject.bin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1657350</xdr:colOff>
          <xdr:row>12</xdr:row>
          <xdr:rowOff>171450</xdr:rowOff>
        </xdr:from>
        <xdr:to>
          <xdr:col>2</xdr:col>
          <xdr:colOff>352425</xdr:colOff>
          <xdr:row>15</xdr:row>
          <xdr:rowOff>76200</xdr:rowOff>
        </xdr:to>
        <xdr:sp macro="" textlink="">
          <xdr:nvSpPr>
            <xdr:cNvPr id="6145" name="Butto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AE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 Stock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1514475</xdr:colOff>
          <xdr:row>14</xdr:row>
          <xdr:rowOff>85725</xdr:rowOff>
        </xdr:from>
        <xdr:to>
          <xdr:col>2</xdr:col>
          <xdr:colOff>285750</xdr:colOff>
          <xdr:row>16</xdr:row>
          <xdr:rowOff>180975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AE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 Sale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10"/>
  <sheetViews>
    <sheetView showGridLines="0" workbookViewId="0">
      <selection activeCell="C24" sqref="C24"/>
    </sheetView>
  </sheetViews>
  <sheetFormatPr defaultRowHeight="15" x14ac:dyDescent="0.25"/>
  <cols>
    <col min="1" max="1" width="28.7109375" customWidth="1"/>
    <col min="2" max="2" width="18" customWidth="1"/>
    <col min="3" max="3" width="11" customWidth="1"/>
    <col min="4" max="6" width="15" customWidth="1"/>
  </cols>
  <sheetData>
    <row r="1" spans="1:6" ht="25.5" customHeight="1" x14ac:dyDescent="0.35">
      <c r="A1" s="57" t="s">
        <v>36</v>
      </c>
      <c r="B1" s="58"/>
      <c r="C1" s="58"/>
      <c r="D1" s="58"/>
      <c r="E1" s="58"/>
      <c r="F1" s="58"/>
    </row>
    <row r="3" spans="1:6" ht="18.75" x14ac:dyDescent="0.3">
      <c r="A3" s="39" t="s">
        <v>29</v>
      </c>
      <c r="B3" s="41">
        <v>46258</v>
      </c>
    </row>
    <row r="5" spans="1:6" ht="18.75" x14ac:dyDescent="0.3">
      <c r="A5" s="40"/>
    </row>
    <row r="6" spans="1:6" ht="18.75" x14ac:dyDescent="0.3">
      <c r="A6" s="39" t="s">
        <v>1</v>
      </c>
      <c r="B6" s="38"/>
      <c r="C6" s="38"/>
      <c r="D6" s="38" t="s">
        <v>2</v>
      </c>
      <c r="E6" s="38" t="str">
        <f>IF(B6="","",VLOOKUP(B6,Stock!$A$5:$B$33,2,FALSE))</f>
        <v/>
      </c>
    </row>
    <row r="7" spans="1:6" ht="18.75" x14ac:dyDescent="0.3">
      <c r="A7" s="39" t="s">
        <v>37</v>
      </c>
      <c r="B7" s="38"/>
    </row>
    <row r="8" spans="1:6" ht="18.75" x14ac:dyDescent="0.3">
      <c r="A8" s="39" t="s">
        <v>38</v>
      </c>
      <c r="B8" s="38"/>
    </row>
    <row r="10" spans="1:6" ht="18.75" x14ac:dyDescent="0.3">
      <c r="A10" s="40"/>
    </row>
  </sheetData>
  <mergeCells count="1">
    <mergeCell ref="A1:F1"/>
  </mergeCells>
  <pageMargins left="0.75" right="0.75" top="1" bottom="1" header="0.5" footer="0.5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Button 1">
              <controlPr defaultSize="0" print="0" autoFill="0" autoPict="0" macro="[0]!AddPurchase">
                <anchor moveWithCells="1" sizeWithCells="1">
                  <from>
                    <xdr:col>0</xdr:col>
                    <xdr:colOff>1657350</xdr:colOff>
                    <xdr:row>12</xdr:row>
                    <xdr:rowOff>171450</xdr:rowOff>
                  </from>
                  <to>
                    <xdr:col>2</xdr:col>
                    <xdr:colOff>352425</xdr:colOff>
                    <xdr:row>15</xdr:row>
                    <xdr:rowOff>76200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Stock!$A$5:$A$29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504"/>
  <sheetViews>
    <sheetView showGridLines="0" workbookViewId="0">
      <selection activeCell="J22" sqref="J22"/>
    </sheetView>
  </sheetViews>
  <sheetFormatPr defaultRowHeight="15" x14ac:dyDescent="0.25"/>
  <cols>
    <col min="1" max="1" width="14" customWidth="1"/>
    <col min="2" max="2" width="24" customWidth="1"/>
    <col min="3" max="4" width="22" customWidth="1"/>
    <col min="5" max="5" width="18" customWidth="1"/>
    <col min="6" max="6" width="12" customWidth="1"/>
    <col min="11" max="11" width="16.7109375" customWidth="1"/>
    <col min="14" max="14" width="15.140625" customWidth="1"/>
  </cols>
  <sheetData>
    <row r="1" spans="1:15" ht="25.5" customHeight="1" x14ac:dyDescent="0.35">
      <c r="A1" s="59" t="s">
        <v>39</v>
      </c>
      <c r="B1" s="60"/>
      <c r="C1" s="60"/>
      <c r="D1" s="60"/>
      <c r="E1" s="60"/>
      <c r="F1" s="60"/>
      <c r="K1" s="47" t="s">
        <v>89</v>
      </c>
      <c r="L1" s="47" t="s">
        <v>92</v>
      </c>
    </row>
    <row r="2" spans="1:15" ht="21" x14ac:dyDescent="0.35">
      <c r="I2" s="46">
        <v>46246</v>
      </c>
      <c r="J2">
        <v>6200</v>
      </c>
      <c r="K2" s="37">
        <f>SUM(J2:J100)</f>
        <v>11100</v>
      </c>
      <c r="L2" s="48">
        <f>O5-K2</f>
        <v>909</v>
      </c>
    </row>
    <row r="3" spans="1:15" x14ac:dyDescent="0.25">
      <c r="I3" s="46">
        <v>46251</v>
      </c>
      <c r="J3">
        <v>1365</v>
      </c>
      <c r="N3" t="s">
        <v>90</v>
      </c>
      <c r="O3">
        <v>3090</v>
      </c>
    </row>
    <row r="4" spans="1:15" x14ac:dyDescent="0.25">
      <c r="A4" s="7" t="s">
        <v>29</v>
      </c>
      <c r="B4" s="7" t="s">
        <v>1</v>
      </c>
      <c r="C4" s="7" t="s">
        <v>37</v>
      </c>
      <c r="D4" s="7" t="s">
        <v>35</v>
      </c>
      <c r="E4" s="7" t="s">
        <v>40</v>
      </c>
      <c r="F4" s="7" t="s">
        <v>2</v>
      </c>
      <c r="I4" s="46">
        <v>46252</v>
      </c>
      <c r="J4">
        <v>700</v>
      </c>
      <c r="N4" t="s">
        <v>91</v>
      </c>
      <c r="O4">
        <v>8919</v>
      </c>
    </row>
    <row r="5" spans="1:15" ht="18.75" x14ac:dyDescent="0.3">
      <c r="A5" s="43">
        <v>46251</v>
      </c>
      <c r="B5" s="2" t="s">
        <v>16</v>
      </c>
      <c r="C5" s="44">
        <v>20</v>
      </c>
      <c r="D5" s="44">
        <v>14.5</v>
      </c>
      <c r="E5" s="44">
        <v>290</v>
      </c>
      <c r="F5" s="2" t="s">
        <v>11</v>
      </c>
      <c r="I5" s="46">
        <v>46253</v>
      </c>
      <c r="J5">
        <v>2285</v>
      </c>
      <c r="O5" s="40">
        <f>SUM(O3:O4)</f>
        <v>12009</v>
      </c>
    </row>
    <row r="6" spans="1:15" x14ac:dyDescent="0.25">
      <c r="A6" s="43">
        <v>46251</v>
      </c>
      <c r="B6" s="2" t="s">
        <v>62</v>
      </c>
      <c r="C6" s="44">
        <v>10</v>
      </c>
      <c r="D6" s="44">
        <v>12</v>
      </c>
      <c r="E6" s="44">
        <v>120</v>
      </c>
      <c r="F6" s="2" t="s">
        <v>18</v>
      </c>
      <c r="I6" s="46">
        <v>46258</v>
      </c>
      <c r="J6">
        <v>550</v>
      </c>
    </row>
    <row r="7" spans="1:15" x14ac:dyDescent="0.25">
      <c r="A7" s="43">
        <v>46251</v>
      </c>
      <c r="B7" s="2" t="s">
        <v>64</v>
      </c>
      <c r="C7" s="44">
        <v>10</v>
      </c>
      <c r="D7" s="44">
        <v>18</v>
      </c>
      <c r="E7" s="44">
        <v>180</v>
      </c>
      <c r="F7" s="2" t="s">
        <v>11</v>
      </c>
    </row>
    <row r="8" spans="1:15" x14ac:dyDescent="0.25">
      <c r="A8" s="43">
        <v>46251</v>
      </c>
      <c r="B8" s="2" t="s">
        <v>65</v>
      </c>
      <c r="C8" s="44">
        <v>12</v>
      </c>
      <c r="D8" s="44">
        <v>15</v>
      </c>
      <c r="E8" s="44">
        <v>180</v>
      </c>
      <c r="F8" s="2" t="s">
        <v>18</v>
      </c>
    </row>
    <row r="9" spans="1:15" x14ac:dyDescent="0.25">
      <c r="A9" s="43">
        <v>46251</v>
      </c>
      <c r="B9" s="2" t="s">
        <v>63</v>
      </c>
      <c r="C9" s="44">
        <v>24</v>
      </c>
      <c r="D9" s="44">
        <v>6.666666666666667</v>
      </c>
      <c r="E9" s="44">
        <v>160</v>
      </c>
      <c r="F9" s="2" t="s">
        <v>18</v>
      </c>
    </row>
    <row r="10" spans="1:15" x14ac:dyDescent="0.25">
      <c r="A10" s="43">
        <v>46251</v>
      </c>
      <c r="B10" s="2" t="s">
        <v>66</v>
      </c>
      <c r="C10" s="44">
        <v>10</v>
      </c>
      <c r="D10" s="44">
        <v>23.5</v>
      </c>
      <c r="E10" s="44">
        <v>235</v>
      </c>
      <c r="F10" s="2" t="s">
        <v>11</v>
      </c>
    </row>
    <row r="11" spans="1:15" x14ac:dyDescent="0.25">
      <c r="A11" s="43">
        <v>46251</v>
      </c>
      <c r="B11" s="2" t="s">
        <v>26</v>
      </c>
      <c r="C11" s="44">
        <v>8</v>
      </c>
      <c r="D11" s="44">
        <v>25</v>
      </c>
      <c r="E11" s="44">
        <v>200</v>
      </c>
      <c r="F11" s="2" t="s">
        <v>25</v>
      </c>
    </row>
    <row r="12" spans="1:15" x14ac:dyDescent="0.25">
      <c r="A12" s="43">
        <v>46252</v>
      </c>
      <c r="B12" s="2" t="s">
        <v>15</v>
      </c>
      <c r="C12" s="44">
        <v>20</v>
      </c>
      <c r="D12" s="44">
        <v>14.5</v>
      </c>
      <c r="E12" s="44">
        <v>290</v>
      </c>
      <c r="F12" s="2" t="s">
        <v>11</v>
      </c>
    </row>
    <row r="13" spans="1:15" x14ac:dyDescent="0.25">
      <c r="A13" s="43">
        <v>46252</v>
      </c>
      <c r="B13" s="2" t="s">
        <v>26</v>
      </c>
      <c r="C13" s="44">
        <v>4</v>
      </c>
      <c r="D13" s="44">
        <v>25</v>
      </c>
      <c r="E13" s="44">
        <v>100</v>
      </c>
      <c r="F13" s="2" t="s">
        <v>25</v>
      </c>
    </row>
    <row r="14" spans="1:15" x14ac:dyDescent="0.25">
      <c r="A14" s="43">
        <v>46252</v>
      </c>
      <c r="B14" s="2" t="s">
        <v>72</v>
      </c>
      <c r="C14" s="44">
        <v>20</v>
      </c>
      <c r="D14" s="44">
        <v>15.5</v>
      </c>
      <c r="E14" s="44">
        <v>310</v>
      </c>
      <c r="F14" s="2" t="s">
        <v>11</v>
      </c>
    </row>
    <row r="15" spans="1:15" x14ac:dyDescent="0.25">
      <c r="A15" s="43">
        <v>46255</v>
      </c>
      <c r="B15" s="2" t="s">
        <v>26</v>
      </c>
      <c r="C15" s="44">
        <v>12</v>
      </c>
      <c r="D15" s="44">
        <v>23.75</v>
      </c>
      <c r="E15" s="44">
        <v>285</v>
      </c>
      <c r="F15" s="2" t="s">
        <v>25</v>
      </c>
    </row>
    <row r="16" spans="1:15" x14ac:dyDescent="0.25">
      <c r="A16" s="43">
        <v>46255</v>
      </c>
      <c r="B16" s="2" t="s">
        <v>24</v>
      </c>
      <c r="C16" s="44">
        <v>30</v>
      </c>
      <c r="D16" s="44">
        <v>7</v>
      </c>
      <c r="E16" s="44">
        <v>210</v>
      </c>
      <c r="F16" s="2" t="s">
        <v>25</v>
      </c>
    </row>
    <row r="17" spans="1:6" x14ac:dyDescent="0.25">
      <c r="A17" s="43">
        <v>46255</v>
      </c>
      <c r="B17" s="2" t="s">
        <v>13</v>
      </c>
      <c r="C17" s="44">
        <v>40</v>
      </c>
      <c r="D17" s="44">
        <v>17</v>
      </c>
      <c r="E17" s="44">
        <v>680</v>
      </c>
      <c r="F17" s="2" t="s">
        <v>11</v>
      </c>
    </row>
    <row r="18" spans="1:6" x14ac:dyDescent="0.25">
      <c r="A18" s="43">
        <v>46255</v>
      </c>
      <c r="B18" s="2" t="s">
        <v>20</v>
      </c>
      <c r="C18" s="44">
        <v>10</v>
      </c>
      <c r="D18" s="44">
        <v>27</v>
      </c>
      <c r="E18" s="44">
        <v>270</v>
      </c>
      <c r="F18" s="2" t="s">
        <v>11</v>
      </c>
    </row>
    <row r="19" spans="1:6" x14ac:dyDescent="0.25">
      <c r="A19" s="43">
        <v>46255</v>
      </c>
      <c r="B19" s="2" t="s">
        <v>10</v>
      </c>
      <c r="C19" s="44">
        <v>20</v>
      </c>
      <c r="D19" s="44">
        <v>15.5</v>
      </c>
      <c r="E19" s="44">
        <v>310</v>
      </c>
      <c r="F19" s="2" t="s">
        <v>11</v>
      </c>
    </row>
    <row r="20" spans="1:6" x14ac:dyDescent="0.25">
      <c r="A20" s="43">
        <v>46255</v>
      </c>
      <c r="B20" s="2" t="s">
        <v>73</v>
      </c>
      <c r="C20" s="44">
        <v>10</v>
      </c>
      <c r="D20" s="44">
        <v>20</v>
      </c>
      <c r="E20" s="44">
        <v>200</v>
      </c>
      <c r="F20" s="2" t="s">
        <v>18</v>
      </c>
    </row>
    <row r="21" spans="1:6" x14ac:dyDescent="0.25">
      <c r="A21" s="43">
        <v>46255</v>
      </c>
      <c r="B21" s="2" t="s">
        <v>74</v>
      </c>
      <c r="C21" s="44">
        <v>20</v>
      </c>
      <c r="D21" s="44">
        <v>16.5</v>
      </c>
      <c r="E21" s="44">
        <v>330</v>
      </c>
      <c r="F21" s="2" t="s">
        <v>11</v>
      </c>
    </row>
    <row r="22" spans="1:6" x14ac:dyDescent="0.25">
      <c r="A22" s="43">
        <v>46258</v>
      </c>
      <c r="B22" s="2" t="s">
        <v>27</v>
      </c>
      <c r="C22" s="44">
        <v>20</v>
      </c>
      <c r="D22" s="44">
        <v>22</v>
      </c>
      <c r="E22" s="44">
        <v>440</v>
      </c>
      <c r="F22" s="2" t="s">
        <v>18</v>
      </c>
    </row>
    <row r="23" spans="1:6" x14ac:dyDescent="0.25">
      <c r="A23" s="43">
        <v>46258</v>
      </c>
      <c r="B23" s="2" t="s">
        <v>17</v>
      </c>
      <c r="C23" s="44">
        <v>24</v>
      </c>
      <c r="D23" s="44">
        <v>4.583333333333333</v>
      </c>
      <c r="E23" s="44">
        <v>110</v>
      </c>
      <c r="F23" s="2" t="s">
        <v>18</v>
      </c>
    </row>
    <row r="24" spans="1:6" x14ac:dyDescent="0.25">
      <c r="A24" s="2"/>
      <c r="B24" s="2"/>
      <c r="C24" s="2"/>
      <c r="D24" s="2"/>
      <c r="E24" s="2" t="str">
        <f t="shared" ref="E24:E68" si="0">IF(OR(C24="",D24=""),"",C24*D24)</f>
        <v/>
      </c>
      <c r="F24" s="2" t="str">
        <f>IF(B24="","",VLOOKUP(B24,Stock!$A$5:$B$21,2,FALSE))</f>
        <v/>
      </c>
    </row>
    <row r="25" spans="1:6" x14ac:dyDescent="0.25">
      <c r="A25" s="2"/>
      <c r="B25" s="2"/>
      <c r="C25" s="2"/>
      <c r="D25" s="2"/>
      <c r="E25" s="2" t="str">
        <f t="shared" si="0"/>
        <v/>
      </c>
      <c r="F25" s="2" t="str">
        <f>IF(B25="","",VLOOKUP(B25,Stock!$A$5:$B$21,2,FALSE))</f>
        <v/>
      </c>
    </row>
    <row r="26" spans="1:6" x14ac:dyDescent="0.25">
      <c r="A26" s="2"/>
      <c r="B26" s="2"/>
      <c r="C26" s="2"/>
      <c r="D26" s="2"/>
      <c r="E26" s="2" t="str">
        <f t="shared" si="0"/>
        <v/>
      </c>
      <c r="F26" s="2" t="str">
        <f>IF(B26="","",VLOOKUP(B26,Stock!$A$5:$B$21,2,FALSE))</f>
        <v/>
      </c>
    </row>
    <row r="27" spans="1:6" x14ac:dyDescent="0.25">
      <c r="A27" s="2"/>
      <c r="B27" s="2"/>
      <c r="C27" s="2"/>
      <c r="D27" s="2"/>
      <c r="E27" s="2" t="str">
        <f t="shared" si="0"/>
        <v/>
      </c>
      <c r="F27" s="2" t="str">
        <f>IF(B27="","",VLOOKUP(B27,Stock!$A$5:$B$21,2,FALSE))</f>
        <v/>
      </c>
    </row>
    <row r="28" spans="1:6" x14ac:dyDescent="0.25">
      <c r="A28" s="2"/>
      <c r="B28" s="2"/>
      <c r="C28" s="2"/>
      <c r="D28" s="2"/>
      <c r="E28" s="2" t="str">
        <f t="shared" si="0"/>
        <v/>
      </c>
      <c r="F28" s="2" t="str">
        <f>IF(B28="","",VLOOKUP(B28,Stock!$A$5:$B$21,2,FALSE))</f>
        <v/>
      </c>
    </row>
    <row r="29" spans="1:6" x14ac:dyDescent="0.25">
      <c r="A29" s="2"/>
      <c r="B29" s="2"/>
      <c r="C29" s="2"/>
      <c r="D29" s="2"/>
      <c r="E29" s="2" t="str">
        <f t="shared" si="0"/>
        <v/>
      </c>
      <c r="F29" s="2" t="str">
        <f>IF(B29="","",VLOOKUP(B29,Stock!$A$5:$B$21,2,FALSE))</f>
        <v/>
      </c>
    </row>
    <row r="30" spans="1:6" x14ac:dyDescent="0.25">
      <c r="A30" s="2"/>
      <c r="B30" s="2"/>
      <c r="C30" s="2"/>
      <c r="D30" s="2"/>
      <c r="E30" s="2" t="str">
        <f t="shared" si="0"/>
        <v/>
      </c>
      <c r="F30" s="2" t="str">
        <f>IF(B30="","",VLOOKUP(B30,Stock!$A$5:$B$21,2,FALSE))</f>
        <v/>
      </c>
    </row>
    <row r="31" spans="1:6" x14ac:dyDescent="0.25">
      <c r="A31" s="2"/>
      <c r="B31" s="2"/>
      <c r="C31" s="2"/>
      <c r="D31" s="2"/>
      <c r="E31" s="2" t="str">
        <f t="shared" si="0"/>
        <v/>
      </c>
      <c r="F31" s="2" t="str">
        <f>IF(B31="","",VLOOKUP(B31,Stock!$A$5:$B$21,2,FALSE))</f>
        <v/>
      </c>
    </row>
    <row r="32" spans="1:6" x14ac:dyDescent="0.25">
      <c r="A32" s="2"/>
      <c r="B32" s="2"/>
      <c r="C32" s="2"/>
      <c r="D32" s="2"/>
      <c r="E32" s="2" t="str">
        <f t="shared" si="0"/>
        <v/>
      </c>
      <c r="F32" s="2" t="str">
        <f>IF(B32="","",VLOOKUP(B32,Stock!$A$5:$B$21,2,FALSE))</f>
        <v/>
      </c>
    </row>
    <row r="33" spans="1:6" x14ac:dyDescent="0.25">
      <c r="A33" s="2"/>
      <c r="B33" s="2"/>
      <c r="C33" s="2"/>
      <c r="D33" s="2"/>
      <c r="E33" s="2" t="str">
        <f t="shared" si="0"/>
        <v/>
      </c>
      <c r="F33" s="2" t="str">
        <f>IF(B33="","",VLOOKUP(B33,Stock!$A$5:$B$21,2,FALSE))</f>
        <v/>
      </c>
    </row>
    <row r="34" spans="1:6" x14ac:dyDescent="0.25">
      <c r="A34" s="2"/>
      <c r="B34" s="2"/>
      <c r="C34" s="2"/>
      <c r="D34" s="2"/>
      <c r="E34" s="2" t="str">
        <f t="shared" si="0"/>
        <v/>
      </c>
      <c r="F34" s="2" t="str">
        <f>IF(B34="","",VLOOKUP(B34,Stock!$A$5:$B$21,2,FALSE))</f>
        <v/>
      </c>
    </row>
    <row r="35" spans="1:6" x14ac:dyDescent="0.25">
      <c r="A35" s="2"/>
      <c r="B35" s="2"/>
      <c r="C35" s="2"/>
      <c r="D35" s="2"/>
      <c r="E35" s="2" t="str">
        <f t="shared" si="0"/>
        <v/>
      </c>
      <c r="F35" s="2" t="str">
        <f>IF(B35="","",VLOOKUP(B35,Stock!$A$5:$B$21,2,FALSE))</f>
        <v/>
      </c>
    </row>
    <row r="36" spans="1:6" x14ac:dyDescent="0.25">
      <c r="A36" s="2"/>
      <c r="B36" s="2"/>
      <c r="C36" s="2"/>
      <c r="D36" s="2"/>
      <c r="E36" s="2" t="str">
        <f t="shared" si="0"/>
        <v/>
      </c>
      <c r="F36" s="2" t="str">
        <f>IF(B36="","",VLOOKUP(B36,Stock!$A$5:$B$21,2,FALSE))</f>
        <v/>
      </c>
    </row>
    <row r="37" spans="1:6" x14ac:dyDescent="0.25">
      <c r="A37" s="2"/>
      <c r="B37" s="2"/>
      <c r="C37" s="2"/>
      <c r="D37" s="2"/>
      <c r="E37" s="2" t="str">
        <f t="shared" si="0"/>
        <v/>
      </c>
      <c r="F37" s="2" t="str">
        <f>IF(B37="","",VLOOKUP(B37,Stock!$A$5:$B$21,2,FALSE))</f>
        <v/>
      </c>
    </row>
    <row r="38" spans="1:6" x14ac:dyDescent="0.25">
      <c r="E38" t="str">
        <f t="shared" si="0"/>
        <v/>
      </c>
      <c r="F38" t="str">
        <f>IF(B38="","",VLOOKUP(B38,Stock!$A$5:$B$21,2,FALSE))</f>
        <v/>
      </c>
    </row>
    <row r="39" spans="1:6" x14ac:dyDescent="0.25">
      <c r="E39" t="str">
        <f t="shared" si="0"/>
        <v/>
      </c>
      <c r="F39" t="str">
        <f>IF(B39="","",VLOOKUP(B39,Stock!$A$5:$B$21,2,FALSE))</f>
        <v/>
      </c>
    </row>
    <row r="40" spans="1:6" x14ac:dyDescent="0.25">
      <c r="E40" t="str">
        <f t="shared" si="0"/>
        <v/>
      </c>
      <c r="F40" t="str">
        <f>IF(B40="","",VLOOKUP(B40,Stock!$A$5:$B$21,2,FALSE))</f>
        <v/>
      </c>
    </row>
    <row r="41" spans="1:6" x14ac:dyDescent="0.25">
      <c r="E41" t="str">
        <f t="shared" si="0"/>
        <v/>
      </c>
      <c r="F41" t="str">
        <f>IF(B41="","",VLOOKUP(B41,Stock!$A$5:$B$21,2,FALSE))</f>
        <v/>
      </c>
    </row>
    <row r="42" spans="1:6" x14ac:dyDescent="0.25">
      <c r="E42" t="str">
        <f t="shared" si="0"/>
        <v/>
      </c>
      <c r="F42" t="str">
        <f>IF(B42="","",VLOOKUP(B42,Stock!$A$5:$B$21,2,FALSE))</f>
        <v/>
      </c>
    </row>
    <row r="43" spans="1:6" x14ac:dyDescent="0.25">
      <c r="E43" t="str">
        <f t="shared" si="0"/>
        <v/>
      </c>
      <c r="F43" t="str">
        <f>IF(B43="","",VLOOKUP(B43,Stock!$A$5:$B$21,2,FALSE))</f>
        <v/>
      </c>
    </row>
    <row r="44" spans="1:6" x14ac:dyDescent="0.25">
      <c r="E44" t="str">
        <f t="shared" si="0"/>
        <v/>
      </c>
      <c r="F44" t="str">
        <f>IF(B44="","",VLOOKUP(B44,Stock!$A$5:$B$21,2,FALSE))</f>
        <v/>
      </c>
    </row>
    <row r="45" spans="1:6" x14ac:dyDescent="0.25">
      <c r="E45" t="str">
        <f t="shared" si="0"/>
        <v/>
      </c>
      <c r="F45" t="str">
        <f>IF(B45="","",VLOOKUP(B45,Stock!$A$5:$B$21,2,FALSE))</f>
        <v/>
      </c>
    </row>
    <row r="46" spans="1:6" x14ac:dyDescent="0.25">
      <c r="E46" t="str">
        <f t="shared" si="0"/>
        <v/>
      </c>
      <c r="F46" t="str">
        <f>IF(B46="","",VLOOKUP(B46,Stock!$A$5:$B$21,2,FALSE))</f>
        <v/>
      </c>
    </row>
    <row r="47" spans="1:6" x14ac:dyDescent="0.25">
      <c r="E47" t="str">
        <f t="shared" si="0"/>
        <v/>
      </c>
      <c r="F47" t="str">
        <f>IF(B47="","",VLOOKUP(B47,Stock!$A$5:$B$21,2,FALSE))</f>
        <v/>
      </c>
    </row>
    <row r="48" spans="1:6" x14ac:dyDescent="0.25">
      <c r="E48" t="str">
        <f t="shared" si="0"/>
        <v/>
      </c>
      <c r="F48" t="str">
        <f>IF(B48="","",VLOOKUP(B48,Stock!$A$5:$B$21,2,FALSE))</f>
        <v/>
      </c>
    </row>
    <row r="49" spans="5:6" x14ac:dyDescent="0.25">
      <c r="E49" t="str">
        <f t="shared" si="0"/>
        <v/>
      </c>
      <c r="F49" t="str">
        <f>IF(B49="","",VLOOKUP(B49,Stock!$A$5:$B$21,2,FALSE))</f>
        <v/>
      </c>
    </row>
    <row r="50" spans="5:6" x14ac:dyDescent="0.25">
      <c r="E50" t="str">
        <f t="shared" si="0"/>
        <v/>
      </c>
      <c r="F50" t="str">
        <f>IF(B50="","",VLOOKUP(B50,Stock!$A$5:$B$21,2,FALSE))</f>
        <v/>
      </c>
    </row>
    <row r="51" spans="5:6" x14ac:dyDescent="0.25">
      <c r="E51" t="str">
        <f t="shared" si="0"/>
        <v/>
      </c>
      <c r="F51" t="str">
        <f>IF(B51="","",VLOOKUP(B51,Stock!$A$5:$B$21,2,FALSE))</f>
        <v/>
      </c>
    </row>
    <row r="52" spans="5:6" x14ac:dyDescent="0.25">
      <c r="E52" t="str">
        <f t="shared" si="0"/>
        <v/>
      </c>
      <c r="F52" t="str">
        <f>IF(B52="","",VLOOKUP(B52,Stock!$A$5:$B$21,2,FALSE))</f>
        <v/>
      </c>
    </row>
    <row r="53" spans="5:6" x14ac:dyDescent="0.25">
      <c r="E53" t="str">
        <f t="shared" si="0"/>
        <v/>
      </c>
      <c r="F53" t="str">
        <f>IF(B53="","",VLOOKUP(B53,Stock!$A$5:$B$21,2,FALSE))</f>
        <v/>
      </c>
    </row>
    <row r="54" spans="5:6" x14ac:dyDescent="0.25">
      <c r="E54" t="str">
        <f t="shared" si="0"/>
        <v/>
      </c>
      <c r="F54" t="str">
        <f>IF(B54="","",VLOOKUP(B54,Stock!$A$5:$B$21,2,FALSE))</f>
        <v/>
      </c>
    </row>
    <row r="55" spans="5:6" x14ac:dyDescent="0.25">
      <c r="E55" t="str">
        <f t="shared" si="0"/>
        <v/>
      </c>
      <c r="F55" t="str">
        <f>IF(B55="","",VLOOKUP(B55,Stock!$A$5:$B$21,2,FALSE))</f>
        <v/>
      </c>
    </row>
    <row r="56" spans="5:6" x14ac:dyDescent="0.25">
      <c r="E56" t="str">
        <f t="shared" si="0"/>
        <v/>
      </c>
      <c r="F56" t="str">
        <f>IF(B56="","",VLOOKUP(B56,Stock!$A$5:$B$21,2,FALSE))</f>
        <v/>
      </c>
    </row>
    <row r="57" spans="5:6" x14ac:dyDescent="0.25">
      <c r="E57" t="str">
        <f t="shared" si="0"/>
        <v/>
      </c>
      <c r="F57" t="str">
        <f>IF(B57="","",VLOOKUP(B57,Stock!$A$5:$B$21,2,FALSE))</f>
        <v/>
      </c>
    </row>
    <row r="58" spans="5:6" x14ac:dyDescent="0.25">
      <c r="E58" t="str">
        <f t="shared" si="0"/>
        <v/>
      </c>
      <c r="F58" t="str">
        <f>IF(B58="","",VLOOKUP(B58,Stock!$A$5:$B$21,2,FALSE))</f>
        <v/>
      </c>
    </row>
    <row r="59" spans="5:6" x14ac:dyDescent="0.25">
      <c r="E59" t="str">
        <f t="shared" si="0"/>
        <v/>
      </c>
      <c r="F59" t="str">
        <f>IF(B59="","",VLOOKUP(B59,Stock!$A$5:$B$21,2,FALSE))</f>
        <v/>
      </c>
    </row>
    <row r="60" spans="5:6" x14ac:dyDescent="0.25">
      <c r="E60" t="str">
        <f t="shared" si="0"/>
        <v/>
      </c>
      <c r="F60" t="str">
        <f>IF(B60="","",VLOOKUP(B60,Stock!$A$5:$B$21,2,FALSE))</f>
        <v/>
      </c>
    </row>
    <row r="61" spans="5:6" x14ac:dyDescent="0.25">
      <c r="E61" t="str">
        <f t="shared" si="0"/>
        <v/>
      </c>
      <c r="F61" t="str">
        <f>IF(B61="","",VLOOKUP(B61,Stock!$A$5:$B$21,2,FALSE))</f>
        <v/>
      </c>
    </row>
    <row r="62" spans="5:6" x14ac:dyDescent="0.25">
      <c r="E62" t="str">
        <f t="shared" si="0"/>
        <v/>
      </c>
      <c r="F62" t="str">
        <f>IF(B62="","",VLOOKUP(B62,Stock!$A$5:$B$21,2,FALSE))</f>
        <v/>
      </c>
    </row>
    <row r="63" spans="5:6" x14ac:dyDescent="0.25">
      <c r="E63" t="str">
        <f t="shared" si="0"/>
        <v/>
      </c>
      <c r="F63" t="str">
        <f>IF(B63="","",VLOOKUP(B63,Stock!$A$5:$B$21,2,FALSE))</f>
        <v/>
      </c>
    </row>
    <row r="64" spans="5:6" x14ac:dyDescent="0.25">
      <c r="E64" t="str">
        <f t="shared" si="0"/>
        <v/>
      </c>
      <c r="F64" t="str">
        <f>IF(B64="","",VLOOKUP(B64,Stock!$A$5:$B$21,2,FALSE))</f>
        <v/>
      </c>
    </row>
    <row r="65" spans="5:6" x14ac:dyDescent="0.25">
      <c r="E65" t="str">
        <f t="shared" si="0"/>
        <v/>
      </c>
      <c r="F65" t="str">
        <f>IF(B65="","",VLOOKUP(B65,Stock!$A$5:$B$21,2,FALSE))</f>
        <v/>
      </c>
    </row>
    <row r="66" spans="5:6" x14ac:dyDescent="0.25">
      <c r="E66" t="str">
        <f t="shared" si="0"/>
        <v/>
      </c>
      <c r="F66" t="str">
        <f>IF(B66="","",VLOOKUP(B66,Stock!$A$5:$B$21,2,FALSE))</f>
        <v/>
      </c>
    </row>
    <row r="67" spans="5:6" x14ac:dyDescent="0.25">
      <c r="E67" t="str">
        <f t="shared" si="0"/>
        <v/>
      </c>
      <c r="F67" t="str">
        <f>IF(B67="","",VLOOKUP(B67,Stock!$A$5:$B$21,2,FALSE))</f>
        <v/>
      </c>
    </row>
    <row r="68" spans="5:6" x14ac:dyDescent="0.25">
      <c r="E68" t="str">
        <f t="shared" si="0"/>
        <v/>
      </c>
      <c r="F68" t="str">
        <f>IF(B68="","",VLOOKUP(B68,Stock!$A$5:$B$21,2,FALSE))</f>
        <v/>
      </c>
    </row>
    <row r="69" spans="5:6" x14ac:dyDescent="0.25">
      <c r="E69" t="str">
        <f t="shared" ref="E69:E132" si="1">IF(OR(C69="",D69=""),"",C69*D69)</f>
        <v/>
      </c>
      <c r="F69" t="str">
        <f>IF(B69="","",VLOOKUP(B69,Stock!$A$5:$B$21,2,FALSE))</f>
        <v/>
      </c>
    </row>
    <row r="70" spans="5:6" x14ac:dyDescent="0.25">
      <c r="E70" t="str">
        <f t="shared" si="1"/>
        <v/>
      </c>
      <c r="F70" t="str">
        <f>IF(B70="","",VLOOKUP(B70,Stock!$A$5:$B$21,2,FALSE))</f>
        <v/>
      </c>
    </row>
    <row r="71" spans="5:6" x14ac:dyDescent="0.25">
      <c r="E71" t="str">
        <f t="shared" si="1"/>
        <v/>
      </c>
      <c r="F71" t="str">
        <f>IF(B71="","",VLOOKUP(B71,Stock!$A$5:$B$21,2,FALSE))</f>
        <v/>
      </c>
    </row>
    <row r="72" spans="5:6" x14ac:dyDescent="0.25">
      <c r="E72" t="str">
        <f t="shared" si="1"/>
        <v/>
      </c>
      <c r="F72" t="str">
        <f>IF(B72="","",VLOOKUP(B72,Stock!$A$5:$B$21,2,FALSE))</f>
        <v/>
      </c>
    </row>
    <row r="73" spans="5:6" x14ac:dyDescent="0.25">
      <c r="E73" t="str">
        <f t="shared" si="1"/>
        <v/>
      </c>
      <c r="F73" t="str">
        <f>IF(B73="","",VLOOKUP(B73,Stock!$A$5:$B$21,2,FALSE))</f>
        <v/>
      </c>
    </row>
    <row r="74" spans="5:6" x14ac:dyDescent="0.25">
      <c r="E74" t="str">
        <f t="shared" si="1"/>
        <v/>
      </c>
      <c r="F74" t="str">
        <f>IF(B74="","",VLOOKUP(B74,Stock!$A$5:$B$21,2,FALSE))</f>
        <v/>
      </c>
    </row>
    <row r="75" spans="5:6" x14ac:dyDescent="0.25">
      <c r="E75" t="str">
        <f t="shared" si="1"/>
        <v/>
      </c>
      <c r="F75" t="str">
        <f>IF(B75="","",VLOOKUP(B75,Stock!$A$5:$B$21,2,FALSE))</f>
        <v/>
      </c>
    </row>
    <row r="76" spans="5:6" x14ac:dyDescent="0.25">
      <c r="E76" t="str">
        <f t="shared" si="1"/>
        <v/>
      </c>
      <c r="F76" t="str">
        <f>IF(B76="","",VLOOKUP(B76,Stock!$A$5:$B$21,2,FALSE))</f>
        <v/>
      </c>
    </row>
    <row r="77" spans="5:6" x14ac:dyDescent="0.25">
      <c r="E77" t="str">
        <f t="shared" si="1"/>
        <v/>
      </c>
      <c r="F77" t="str">
        <f>IF(B77="","",VLOOKUP(B77,Stock!$A$5:$B$21,2,FALSE))</f>
        <v/>
      </c>
    </row>
    <row r="78" spans="5:6" x14ac:dyDescent="0.25">
      <c r="E78" t="str">
        <f t="shared" si="1"/>
        <v/>
      </c>
      <c r="F78" t="str">
        <f>IF(B78="","",VLOOKUP(B78,Stock!$A$5:$B$21,2,FALSE))</f>
        <v/>
      </c>
    </row>
    <row r="79" spans="5:6" x14ac:dyDescent="0.25">
      <c r="E79" t="str">
        <f t="shared" si="1"/>
        <v/>
      </c>
      <c r="F79" t="str">
        <f>IF(B79="","",VLOOKUP(B79,Stock!$A$5:$B$21,2,FALSE))</f>
        <v/>
      </c>
    </row>
    <row r="80" spans="5:6" x14ac:dyDescent="0.25">
      <c r="E80" t="str">
        <f t="shared" si="1"/>
        <v/>
      </c>
      <c r="F80" t="str">
        <f>IF(B80="","",VLOOKUP(B80,Stock!$A$5:$B$21,2,FALSE))</f>
        <v/>
      </c>
    </row>
    <row r="81" spans="5:6" x14ac:dyDescent="0.25">
      <c r="E81" t="str">
        <f t="shared" si="1"/>
        <v/>
      </c>
      <c r="F81" t="str">
        <f>IF(B81="","",VLOOKUP(B81,Stock!$A$5:$B$21,2,FALSE))</f>
        <v/>
      </c>
    </row>
    <row r="82" spans="5:6" x14ac:dyDescent="0.25">
      <c r="E82" t="str">
        <f t="shared" si="1"/>
        <v/>
      </c>
      <c r="F82" t="str">
        <f>IF(B82="","",VLOOKUP(B82,Stock!$A$5:$B$21,2,FALSE))</f>
        <v/>
      </c>
    </row>
    <row r="83" spans="5:6" x14ac:dyDescent="0.25">
      <c r="E83" t="str">
        <f t="shared" si="1"/>
        <v/>
      </c>
      <c r="F83" t="str">
        <f>IF(B83="","",VLOOKUP(B83,Stock!$A$5:$B$21,2,FALSE))</f>
        <v/>
      </c>
    </row>
    <row r="84" spans="5:6" x14ac:dyDescent="0.25">
      <c r="E84" t="str">
        <f t="shared" si="1"/>
        <v/>
      </c>
      <c r="F84" t="str">
        <f>IF(B84="","",VLOOKUP(B84,Stock!$A$5:$B$21,2,FALSE))</f>
        <v/>
      </c>
    </row>
    <row r="85" spans="5:6" x14ac:dyDescent="0.25">
      <c r="E85" t="str">
        <f t="shared" si="1"/>
        <v/>
      </c>
      <c r="F85" t="str">
        <f>IF(B85="","",VLOOKUP(B85,Stock!$A$5:$B$21,2,FALSE))</f>
        <v/>
      </c>
    </row>
    <row r="86" spans="5:6" x14ac:dyDescent="0.25">
      <c r="E86" t="str">
        <f t="shared" si="1"/>
        <v/>
      </c>
      <c r="F86" t="str">
        <f>IF(B86="","",VLOOKUP(B86,Stock!$A$5:$B$21,2,FALSE))</f>
        <v/>
      </c>
    </row>
    <row r="87" spans="5:6" x14ac:dyDescent="0.25">
      <c r="E87" t="str">
        <f t="shared" si="1"/>
        <v/>
      </c>
      <c r="F87" t="str">
        <f>IF(B87="","",VLOOKUP(B87,Stock!$A$5:$B$21,2,FALSE))</f>
        <v/>
      </c>
    </row>
    <row r="88" spans="5:6" x14ac:dyDescent="0.25">
      <c r="E88" t="str">
        <f t="shared" si="1"/>
        <v/>
      </c>
      <c r="F88" t="str">
        <f>IF(B88="","",VLOOKUP(B88,Stock!$A$5:$B$21,2,FALSE))</f>
        <v/>
      </c>
    </row>
    <row r="89" spans="5:6" x14ac:dyDescent="0.25">
      <c r="E89" t="str">
        <f t="shared" si="1"/>
        <v/>
      </c>
      <c r="F89" t="str">
        <f>IF(B89="","",VLOOKUP(B89,Stock!$A$5:$B$21,2,FALSE))</f>
        <v/>
      </c>
    </row>
    <row r="90" spans="5:6" x14ac:dyDescent="0.25">
      <c r="E90" t="str">
        <f t="shared" si="1"/>
        <v/>
      </c>
      <c r="F90" t="str">
        <f>IF(B90="","",VLOOKUP(B90,Stock!$A$5:$B$21,2,FALSE))</f>
        <v/>
      </c>
    </row>
    <row r="91" spans="5:6" x14ac:dyDescent="0.25">
      <c r="E91" t="str">
        <f t="shared" si="1"/>
        <v/>
      </c>
      <c r="F91" t="str">
        <f>IF(B91="","",VLOOKUP(B91,Stock!$A$5:$B$21,2,FALSE))</f>
        <v/>
      </c>
    </row>
    <row r="92" spans="5:6" x14ac:dyDescent="0.25">
      <c r="E92" t="str">
        <f t="shared" si="1"/>
        <v/>
      </c>
      <c r="F92" t="str">
        <f>IF(B92="","",VLOOKUP(B92,Stock!$A$5:$B$21,2,FALSE))</f>
        <v/>
      </c>
    </row>
    <row r="93" spans="5:6" x14ac:dyDescent="0.25">
      <c r="E93" t="str">
        <f t="shared" si="1"/>
        <v/>
      </c>
      <c r="F93" t="str">
        <f>IF(B93="","",VLOOKUP(B93,Stock!$A$5:$B$21,2,FALSE))</f>
        <v/>
      </c>
    </row>
    <row r="94" spans="5:6" x14ac:dyDescent="0.25">
      <c r="E94" t="str">
        <f t="shared" si="1"/>
        <v/>
      </c>
      <c r="F94" t="str">
        <f>IF(B94="","",VLOOKUP(B94,Stock!$A$5:$B$21,2,FALSE))</f>
        <v/>
      </c>
    </row>
    <row r="95" spans="5:6" x14ac:dyDescent="0.25">
      <c r="E95" t="str">
        <f t="shared" si="1"/>
        <v/>
      </c>
      <c r="F95" t="str">
        <f>IF(B95="","",VLOOKUP(B95,Stock!$A$5:$B$21,2,FALSE))</f>
        <v/>
      </c>
    </row>
    <row r="96" spans="5:6" x14ac:dyDescent="0.25">
      <c r="E96" t="str">
        <f t="shared" si="1"/>
        <v/>
      </c>
      <c r="F96" t="str">
        <f>IF(B96="","",VLOOKUP(B96,Stock!$A$5:$B$21,2,FALSE))</f>
        <v/>
      </c>
    </row>
    <row r="97" spans="5:6" x14ac:dyDescent="0.25">
      <c r="E97" t="str">
        <f t="shared" si="1"/>
        <v/>
      </c>
      <c r="F97" t="str">
        <f>IF(B97="","",VLOOKUP(B97,Stock!$A$5:$B$21,2,FALSE))</f>
        <v/>
      </c>
    </row>
    <row r="98" spans="5:6" x14ac:dyDescent="0.25">
      <c r="E98" t="str">
        <f t="shared" si="1"/>
        <v/>
      </c>
      <c r="F98" t="str">
        <f>IF(B98="","",VLOOKUP(B98,Stock!$A$5:$B$21,2,FALSE))</f>
        <v/>
      </c>
    </row>
    <row r="99" spans="5:6" x14ac:dyDescent="0.25">
      <c r="E99" t="str">
        <f t="shared" si="1"/>
        <v/>
      </c>
      <c r="F99" t="str">
        <f>IF(B99="","",VLOOKUP(B99,Stock!$A$5:$B$21,2,FALSE))</f>
        <v/>
      </c>
    </row>
    <row r="100" spans="5:6" x14ac:dyDescent="0.25">
      <c r="E100" t="str">
        <f t="shared" si="1"/>
        <v/>
      </c>
      <c r="F100" t="str">
        <f>IF(B100="","",VLOOKUP(B100,Stock!$A$5:$B$21,2,FALSE))</f>
        <v/>
      </c>
    </row>
    <row r="101" spans="5:6" x14ac:dyDescent="0.25">
      <c r="E101" t="str">
        <f t="shared" si="1"/>
        <v/>
      </c>
      <c r="F101" t="str">
        <f>IF(B101="","",VLOOKUP(B101,Stock!$A$5:$B$21,2,FALSE))</f>
        <v/>
      </c>
    </row>
    <row r="102" spans="5:6" x14ac:dyDescent="0.25">
      <c r="E102" t="str">
        <f t="shared" si="1"/>
        <v/>
      </c>
      <c r="F102" t="str">
        <f>IF(B102="","",VLOOKUP(B102,Stock!$A$5:$B$21,2,FALSE))</f>
        <v/>
      </c>
    </row>
    <row r="103" spans="5:6" x14ac:dyDescent="0.25">
      <c r="E103" t="str">
        <f t="shared" si="1"/>
        <v/>
      </c>
      <c r="F103" t="str">
        <f>IF(B103="","",VLOOKUP(B103,Stock!$A$5:$B$21,2,FALSE))</f>
        <v/>
      </c>
    </row>
    <row r="104" spans="5:6" x14ac:dyDescent="0.25">
      <c r="E104" t="str">
        <f t="shared" si="1"/>
        <v/>
      </c>
      <c r="F104" t="str">
        <f>IF(B104="","",VLOOKUP(B104,Stock!$A$5:$B$21,2,FALSE))</f>
        <v/>
      </c>
    </row>
    <row r="105" spans="5:6" x14ac:dyDescent="0.25">
      <c r="E105" t="str">
        <f t="shared" si="1"/>
        <v/>
      </c>
      <c r="F105" t="str">
        <f>IF(B105="","",VLOOKUP(B105,Stock!$A$5:$B$21,2,FALSE))</f>
        <v/>
      </c>
    </row>
    <row r="106" spans="5:6" x14ac:dyDescent="0.25">
      <c r="E106" t="str">
        <f t="shared" si="1"/>
        <v/>
      </c>
      <c r="F106" t="str">
        <f>IF(B106="","",VLOOKUP(B106,Stock!$A$5:$B$21,2,FALSE))</f>
        <v/>
      </c>
    </row>
    <row r="107" spans="5:6" x14ac:dyDescent="0.25">
      <c r="E107" t="str">
        <f t="shared" si="1"/>
        <v/>
      </c>
      <c r="F107" t="str">
        <f>IF(B107="","",VLOOKUP(B107,Stock!$A$5:$B$21,2,FALSE))</f>
        <v/>
      </c>
    </row>
    <row r="108" spans="5:6" x14ac:dyDescent="0.25">
      <c r="E108" t="str">
        <f t="shared" si="1"/>
        <v/>
      </c>
      <c r="F108" t="str">
        <f>IF(B108="","",VLOOKUP(B108,Stock!$A$5:$B$21,2,FALSE))</f>
        <v/>
      </c>
    </row>
    <row r="109" spans="5:6" x14ac:dyDescent="0.25">
      <c r="E109" t="str">
        <f t="shared" si="1"/>
        <v/>
      </c>
      <c r="F109" t="str">
        <f>IF(B109="","",VLOOKUP(B109,Stock!$A$5:$B$21,2,FALSE))</f>
        <v/>
      </c>
    </row>
    <row r="110" spans="5:6" x14ac:dyDescent="0.25">
      <c r="E110" t="str">
        <f t="shared" si="1"/>
        <v/>
      </c>
      <c r="F110" t="str">
        <f>IF(B110="","",VLOOKUP(B110,Stock!$A$5:$B$21,2,FALSE))</f>
        <v/>
      </c>
    </row>
    <row r="111" spans="5:6" x14ac:dyDescent="0.25">
      <c r="E111" t="str">
        <f t="shared" si="1"/>
        <v/>
      </c>
      <c r="F111" t="str">
        <f>IF(B111="","",VLOOKUP(B111,Stock!$A$5:$B$21,2,FALSE))</f>
        <v/>
      </c>
    </row>
    <row r="112" spans="5:6" x14ac:dyDescent="0.25">
      <c r="E112" t="str">
        <f t="shared" si="1"/>
        <v/>
      </c>
      <c r="F112" t="str">
        <f>IF(B112="","",VLOOKUP(B112,Stock!$A$5:$B$21,2,FALSE))</f>
        <v/>
      </c>
    </row>
    <row r="113" spans="5:6" x14ac:dyDescent="0.25">
      <c r="E113" t="str">
        <f t="shared" si="1"/>
        <v/>
      </c>
      <c r="F113" t="str">
        <f>IF(B113="","",VLOOKUP(B113,Stock!$A$5:$B$21,2,FALSE))</f>
        <v/>
      </c>
    </row>
    <row r="114" spans="5:6" x14ac:dyDescent="0.25">
      <c r="E114" t="str">
        <f t="shared" si="1"/>
        <v/>
      </c>
      <c r="F114" t="str">
        <f>IF(B114="","",VLOOKUP(B114,Stock!$A$5:$B$21,2,FALSE))</f>
        <v/>
      </c>
    </row>
    <row r="115" spans="5:6" x14ac:dyDescent="0.25">
      <c r="E115" t="str">
        <f t="shared" si="1"/>
        <v/>
      </c>
      <c r="F115" t="str">
        <f>IF(B115="","",VLOOKUP(B115,Stock!$A$5:$B$21,2,FALSE))</f>
        <v/>
      </c>
    </row>
    <row r="116" spans="5:6" x14ac:dyDescent="0.25">
      <c r="E116" t="str">
        <f t="shared" si="1"/>
        <v/>
      </c>
      <c r="F116" t="str">
        <f>IF(B116="","",VLOOKUP(B116,Stock!$A$5:$B$21,2,FALSE))</f>
        <v/>
      </c>
    </row>
    <row r="117" spans="5:6" x14ac:dyDescent="0.25">
      <c r="E117" t="str">
        <f t="shared" si="1"/>
        <v/>
      </c>
      <c r="F117" t="str">
        <f>IF(B117="","",VLOOKUP(B117,Stock!$A$5:$B$21,2,FALSE))</f>
        <v/>
      </c>
    </row>
    <row r="118" spans="5:6" x14ac:dyDescent="0.25">
      <c r="E118" t="str">
        <f t="shared" si="1"/>
        <v/>
      </c>
      <c r="F118" t="str">
        <f>IF(B118="","",VLOOKUP(B118,Stock!$A$5:$B$21,2,FALSE))</f>
        <v/>
      </c>
    </row>
    <row r="119" spans="5:6" x14ac:dyDescent="0.25">
      <c r="E119" t="str">
        <f t="shared" si="1"/>
        <v/>
      </c>
      <c r="F119" t="str">
        <f>IF(B119="","",VLOOKUP(B119,Stock!$A$5:$B$21,2,FALSE))</f>
        <v/>
      </c>
    </row>
    <row r="120" spans="5:6" x14ac:dyDescent="0.25">
      <c r="E120" t="str">
        <f t="shared" si="1"/>
        <v/>
      </c>
      <c r="F120" t="str">
        <f>IF(B120="","",VLOOKUP(B120,Stock!$A$5:$B$21,2,FALSE))</f>
        <v/>
      </c>
    </row>
    <row r="121" spans="5:6" x14ac:dyDescent="0.25">
      <c r="E121" t="str">
        <f t="shared" si="1"/>
        <v/>
      </c>
      <c r="F121" t="str">
        <f>IF(B121="","",VLOOKUP(B121,Stock!$A$5:$B$21,2,FALSE))</f>
        <v/>
      </c>
    </row>
    <row r="122" spans="5:6" x14ac:dyDescent="0.25">
      <c r="E122" t="str">
        <f t="shared" si="1"/>
        <v/>
      </c>
      <c r="F122" t="str">
        <f>IF(B122="","",VLOOKUP(B122,Stock!$A$5:$B$21,2,FALSE))</f>
        <v/>
      </c>
    </row>
    <row r="123" spans="5:6" x14ac:dyDescent="0.25">
      <c r="E123" t="str">
        <f t="shared" si="1"/>
        <v/>
      </c>
      <c r="F123" t="str">
        <f>IF(B123="","",VLOOKUP(B123,Stock!$A$5:$B$21,2,FALSE))</f>
        <v/>
      </c>
    </row>
    <row r="124" spans="5:6" x14ac:dyDescent="0.25">
      <c r="E124" t="str">
        <f t="shared" si="1"/>
        <v/>
      </c>
      <c r="F124" t="str">
        <f>IF(B124="","",VLOOKUP(B124,Stock!$A$5:$B$21,2,FALSE))</f>
        <v/>
      </c>
    </row>
    <row r="125" spans="5:6" x14ac:dyDescent="0.25">
      <c r="E125" t="str">
        <f t="shared" si="1"/>
        <v/>
      </c>
      <c r="F125" t="str">
        <f>IF(B125="","",VLOOKUP(B125,Stock!$A$5:$B$21,2,FALSE))</f>
        <v/>
      </c>
    </row>
    <row r="126" spans="5:6" x14ac:dyDescent="0.25">
      <c r="E126" t="str">
        <f t="shared" si="1"/>
        <v/>
      </c>
      <c r="F126" t="str">
        <f>IF(B126="","",VLOOKUP(B126,Stock!$A$5:$B$21,2,FALSE))</f>
        <v/>
      </c>
    </row>
    <row r="127" spans="5:6" x14ac:dyDescent="0.25">
      <c r="E127" t="str">
        <f t="shared" si="1"/>
        <v/>
      </c>
      <c r="F127" t="str">
        <f>IF(B127="","",VLOOKUP(B127,Stock!$A$5:$B$21,2,FALSE))</f>
        <v/>
      </c>
    </row>
    <row r="128" spans="5:6" x14ac:dyDescent="0.25">
      <c r="E128" t="str">
        <f t="shared" si="1"/>
        <v/>
      </c>
      <c r="F128" t="str">
        <f>IF(B128="","",VLOOKUP(B128,Stock!$A$5:$B$21,2,FALSE))</f>
        <v/>
      </c>
    </row>
    <row r="129" spans="5:6" x14ac:dyDescent="0.25">
      <c r="E129" t="str">
        <f t="shared" si="1"/>
        <v/>
      </c>
      <c r="F129" t="str">
        <f>IF(B129="","",VLOOKUP(B129,Stock!$A$5:$B$21,2,FALSE))</f>
        <v/>
      </c>
    </row>
    <row r="130" spans="5:6" x14ac:dyDescent="0.25">
      <c r="E130" t="str">
        <f t="shared" si="1"/>
        <v/>
      </c>
      <c r="F130" t="str">
        <f>IF(B130="","",VLOOKUP(B130,Stock!$A$5:$B$21,2,FALSE))</f>
        <v/>
      </c>
    </row>
    <row r="131" spans="5:6" x14ac:dyDescent="0.25">
      <c r="E131" t="str">
        <f t="shared" si="1"/>
        <v/>
      </c>
      <c r="F131" t="str">
        <f>IF(B131="","",VLOOKUP(B131,Stock!$A$5:$B$21,2,FALSE))</f>
        <v/>
      </c>
    </row>
    <row r="132" spans="5:6" x14ac:dyDescent="0.25">
      <c r="E132" t="str">
        <f t="shared" si="1"/>
        <v/>
      </c>
      <c r="F132" t="str">
        <f>IF(B132="","",VLOOKUP(B132,Stock!$A$5:$B$21,2,FALSE))</f>
        <v/>
      </c>
    </row>
    <row r="133" spans="5:6" x14ac:dyDescent="0.25">
      <c r="E133" t="str">
        <f t="shared" ref="E133:E196" si="2">IF(OR(C133="",D133=""),"",C133*D133)</f>
        <v/>
      </c>
      <c r="F133" t="str">
        <f>IF(B133="","",VLOOKUP(B133,Stock!$A$5:$B$21,2,FALSE))</f>
        <v/>
      </c>
    </row>
    <row r="134" spans="5:6" x14ac:dyDescent="0.25">
      <c r="E134" t="str">
        <f t="shared" si="2"/>
        <v/>
      </c>
      <c r="F134" t="str">
        <f>IF(B134="","",VLOOKUP(B134,Stock!$A$5:$B$21,2,FALSE))</f>
        <v/>
      </c>
    </row>
    <row r="135" spans="5:6" x14ac:dyDescent="0.25">
      <c r="E135" t="str">
        <f t="shared" si="2"/>
        <v/>
      </c>
      <c r="F135" t="str">
        <f>IF(B135="","",VLOOKUP(B135,Stock!$A$5:$B$21,2,FALSE))</f>
        <v/>
      </c>
    </row>
    <row r="136" spans="5:6" x14ac:dyDescent="0.25">
      <c r="E136" t="str">
        <f t="shared" si="2"/>
        <v/>
      </c>
      <c r="F136" t="str">
        <f>IF(B136="","",VLOOKUP(B136,Stock!$A$5:$B$21,2,FALSE))</f>
        <v/>
      </c>
    </row>
    <row r="137" spans="5:6" x14ac:dyDescent="0.25">
      <c r="E137" t="str">
        <f t="shared" si="2"/>
        <v/>
      </c>
      <c r="F137" t="str">
        <f>IF(B137="","",VLOOKUP(B137,Stock!$A$5:$B$21,2,FALSE))</f>
        <v/>
      </c>
    </row>
    <row r="138" spans="5:6" x14ac:dyDescent="0.25">
      <c r="E138" t="str">
        <f t="shared" si="2"/>
        <v/>
      </c>
      <c r="F138" t="str">
        <f>IF(B138="","",VLOOKUP(B138,Stock!$A$5:$B$21,2,FALSE))</f>
        <v/>
      </c>
    </row>
    <row r="139" spans="5:6" x14ac:dyDescent="0.25">
      <c r="E139" t="str">
        <f t="shared" si="2"/>
        <v/>
      </c>
      <c r="F139" t="str">
        <f>IF(B139="","",VLOOKUP(B139,Stock!$A$5:$B$21,2,FALSE))</f>
        <v/>
      </c>
    </row>
    <row r="140" spans="5:6" x14ac:dyDescent="0.25">
      <c r="E140" t="str">
        <f t="shared" si="2"/>
        <v/>
      </c>
      <c r="F140" t="str">
        <f>IF(B140="","",VLOOKUP(B140,Stock!$A$5:$B$21,2,FALSE))</f>
        <v/>
      </c>
    </row>
    <row r="141" spans="5:6" x14ac:dyDescent="0.25">
      <c r="E141" t="str">
        <f t="shared" si="2"/>
        <v/>
      </c>
      <c r="F141" t="str">
        <f>IF(B141="","",VLOOKUP(B141,Stock!$A$5:$B$21,2,FALSE))</f>
        <v/>
      </c>
    </row>
    <row r="142" spans="5:6" x14ac:dyDescent="0.25">
      <c r="E142" t="str">
        <f t="shared" si="2"/>
        <v/>
      </c>
      <c r="F142" t="str">
        <f>IF(B142="","",VLOOKUP(B142,Stock!$A$5:$B$21,2,FALSE))</f>
        <v/>
      </c>
    </row>
    <row r="143" spans="5:6" x14ac:dyDescent="0.25">
      <c r="E143" t="str">
        <f t="shared" si="2"/>
        <v/>
      </c>
      <c r="F143" t="str">
        <f>IF(B143="","",VLOOKUP(B143,Stock!$A$5:$B$21,2,FALSE))</f>
        <v/>
      </c>
    </row>
    <row r="144" spans="5:6" x14ac:dyDescent="0.25">
      <c r="E144" t="str">
        <f t="shared" si="2"/>
        <v/>
      </c>
      <c r="F144" t="str">
        <f>IF(B144="","",VLOOKUP(B144,Stock!$A$5:$B$21,2,FALSE))</f>
        <v/>
      </c>
    </row>
    <row r="145" spans="5:6" x14ac:dyDescent="0.25">
      <c r="E145" t="str">
        <f t="shared" si="2"/>
        <v/>
      </c>
      <c r="F145" t="str">
        <f>IF(B145="","",VLOOKUP(B145,Stock!$A$5:$B$21,2,FALSE))</f>
        <v/>
      </c>
    </row>
    <row r="146" spans="5:6" x14ac:dyDescent="0.25">
      <c r="E146" t="str">
        <f t="shared" si="2"/>
        <v/>
      </c>
      <c r="F146" t="str">
        <f>IF(B146="","",VLOOKUP(B146,Stock!$A$5:$B$21,2,FALSE))</f>
        <v/>
      </c>
    </row>
    <row r="147" spans="5:6" x14ac:dyDescent="0.25">
      <c r="E147" t="str">
        <f t="shared" si="2"/>
        <v/>
      </c>
      <c r="F147" t="str">
        <f>IF(B147="","",VLOOKUP(B147,Stock!$A$5:$B$21,2,FALSE))</f>
        <v/>
      </c>
    </row>
    <row r="148" spans="5:6" x14ac:dyDescent="0.25">
      <c r="E148" t="str">
        <f t="shared" si="2"/>
        <v/>
      </c>
      <c r="F148" t="str">
        <f>IF(B148="","",VLOOKUP(B148,Stock!$A$5:$B$21,2,FALSE))</f>
        <v/>
      </c>
    </row>
    <row r="149" spans="5:6" x14ac:dyDescent="0.25">
      <c r="E149" t="str">
        <f t="shared" si="2"/>
        <v/>
      </c>
      <c r="F149" t="str">
        <f>IF(B149="","",VLOOKUP(B149,Stock!$A$5:$B$21,2,FALSE))</f>
        <v/>
      </c>
    </row>
    <row r="150" spans="5:6" x14ac:dyDescent="0.25">
      <c r="E150" t="str">
        <f t="shared" si="2"/>
        <v/>
      </c>
      <c r="F150" t="str">
        <f>IF(B150="","",VLOOKUP(B150,Stock!$A$5:$B$21,2,FALSE))</f>
        <v/>
      </c>
    </row>
    <row r="151" spans="5:6" x14ac:dyDescent="0.25">
      <c r="E151" t="str">
        <f t="shared" si="2"/>
        <v/>
      </c>
      <c r="F151" t="str">
        <f>IF(B151="","",VLOOKUP(B151,Stock!$A$5:$B$21,2,FALSE))</f>
        <v/>
      </c>
    </row>
    <row r="152" spans="5:6" x14ac:dyDescent="0.25">
      <c r="E152" t="str">
        <f t="shared" si="2"/>
        <v/>
      </c>
      <c r="F152" t="str">
        <f>IF(B152="","",VLOOKUP(B152,Stock!$A$5:$B$21,2,FALSE))</f>
        <v/>
      </c>
    </row>
    <row r="153" spans="5:6" x14ac:dyDescent="0.25">
      <c r="E153" t="str">
        <f t="shared" si="2"/>
        <v/>
      </c>
      <c r="F153" t="str">
        <f>IF(B153="","",VLOOKUP(B153,Stock!$A$5:$B$21,2,FALSE))</f>
        <v/>
      </c>
    </row>
    <row r="154" spans="5:6" x14ac:dyDescent="0.25">
      <c r="E154" t="str">
        <f t="shared" si="2"/>
        <v/>
      </c>
      <c r="F154" t="str">
        <f>IF(B154="","",VLOOKUP(B154,Stock!$A$5:$B$21,2,FALSE))</f>
        <v/>
      </c>
    </row>
    <row r="155" spans="5:6" x14ac:dyDescent="0.25">
      <c r="E155" t="str">
        <f t="shared" si="2"/>
        <v/>
      </c>
      <c r="F155" t="str">
        <f>IF(B155="","",VLOOKUP(B155,Stock!$A$5:$B$21,2,FALSE))</f>
        <v/>
      </c>
    </row>
    <row r="156" spans="5:6" x14ac:dyDescent="0.25">
      <c r="E156" t="str">
        <f t="shared" si="2"/>
        <v/>
      </c>
      <c r="F156" t="str">
        <f>IF(B156="","",VLOOKUP(B156,Stock!$A$5:$B$21,2,FALSE))</f>
        <v/>
      </c>
    </row>
    <row r="157" spans="5:6" x14ac:dyDescent="0.25">
      <c r="E157" t="str">
        <f t="shared" si="2"/>
        <v/>
      </c>
      <c r="F157" t="str">
        <f>IF(B157="","",VLOOKUP(B157,Stock!$A$5:$B$21,2,FALSE))</f>
        <v/>
      </c>
    </row>
    <row r="158" spans="5:6" x14ac:dyDescent="0.25">
      <c r="E158" t="str">
        <f t="shared" si="2"/>
        <v/>
      </c>
      <c r="F158" t="str">
        <f>IF(B158="","",VLOOKUP(B158,Stock!$A$5:$B$21,2,FALSE))</f>
        <v/>
      </c>
    </row>
    <row r="159" spans="5:6" x14ac:dyDescent="0.25">
      <c r="E159" t="str">
        <f t="shared" si="2"/>
        <v/>
      </c>
      <c r="F159" t="str">
        <f>IF(B159="","",VLOOKUP(B159,Stock!$A$5:$B$21,2,FALSE))</f>
        <v/>
      </c>
    </row>
    <row r="160" spans="5:6" x14ac:dyDescent="0.25">
      <c r="E160" t="str">
        <f t="shared" si="2"/>
        <v/>
      </c>
      <c r="F160" t="str">
        <f>IF(B160="","",VLOOKUP(B160,Stock!$A$5:$B$21,2,FALSE))</f>
        <v/>
      </c>
    </row>
    <row r="161" spans="5:6" x14ac:dyDescent="0.25">
      <c r="E161" t="str">
        <f t="shared" si="2"/>
        <v/>
      </c>
      <c r="F161" t="str">
        <f>IF(B161="","",VLOOKUP(B161,Stock!$A$5:$B$21,2,FALSE))</f>
        <v/>
      </c>
    </row>
    <row r="162" spans="5:6" x14ac:dyDescent="0.25">
      <c r="E162" t="str">
        <f t="shared" si="2"/>
        <v/>
      </c>
      <c r="F162" t="str">
        <f>IF(B162="","",VLOOKUP(B162,Stock!$A$5:$B$21,2,FALSE))</f>
        <v/>
      </c>
    </row>
    <row r="163" spans="5:6" x14ac:dyDescent="0.25">
      <c r="E163" t="str">
        <f t="shared" si="2"/>
        <v/>
      </c>
      <c r="F163" t="str">
        <f>IF(B163="","",VLOOKUP(B163,Stock!$A$5:$B$21,2,FALSE))</f>
        <v/>
      </c>
    </row>
    <row r="164" spans="5:6" x14ac:dyDescent="0.25">
      <c r="E164" t="str">
        <f t="shared" si="2"/>
        <v/>
      </c>
      <c r="F164" t="str">
        <f>IF(B164="","",VLOOKUP(B164,Stock!$A$5:$B$21,2,FALSE))</f>
        <v/>
      </c>
    </row>
    <row r="165" spans="5:6" x14ac:dyDescent="0.25">
      <c r="E165" t="str">
        <f t="shared" si="2"/>
        <v/>
      </c>
      <c r="F165" t="str">
        <f>IF(B165="","",VLOOKUP(B165,Stock!$A$5:$B$21,2,FALSE))</f>
        <v/>
      </c>
    </row>
    <row r="166" spans="5:6" x14ac:dyDescent="0.25">
      <c r="E166" t="str">
        <f t="shared" si="2"/>
        <v/>
      </c>
      <c r="F166" t="str">
        <f>IF(B166="","",VLOOKUP(B166,Stock!$A$5:$B$21,2,FALSE))</f>
        <v/>
      </c>
    </row>
    <row r="167" spans="5:6" x14ac:dyDescent="0.25">
      <c r="E167" t="str">
        <f t="shared" si="2"/>
        <v/>
      </c>
      <c r="F167" t="str">
        <f>IF(B167="","",VLOOKUP(B167,Stock!$A$5:$B$21,2,FALSE))</f>
        <v/>
      </c>
    </row>
    <row r="168" spans="5:6" x14ac:dyDescent="0.25">
      <c r="E168" t="str">
        <f t="shared" si="2"/>
        <v/>
      </c>
      <c r="F168" t="str">
        <f>IF(B168="","",VLOOKUP(B168,Stock!$A$5:$B$21,2,FALSE))</f>
        <v/>
      </c>
    </row>
    <row r="169" spans="5:6" x14ac:dyDescent="0.25">
      <c r="E169" t="str">
        <f t="shared" si="2"/>
        <v/>
      </c>
      <c r="F169" t="str">
        <f>IF(B169="","",VLOOKUP(B169,Stock!$A$5:$B$21,2,FALSE))</f>
        <v/>
      </c>
    </row>
    <row r="170" spans="5:6" x14ac:dyDescent="0.25">
      <c r="E170" t="str">
        <f t="shared" si="2"/>
        <v/>
      </c>
      <c r="F170" t="str">
        <f>IF(B170="","",VLOOKUP(B170,Stock!$A$5:$B$21,2,FALSE))</f>
        <v/>
      </c>
    </row>
    <row r="171" spans="5:6" x14ac:dyDescent="0.25">
      <c r="E171" t="str">
        <f t="shared" si="2"/>
        <v/>
      </c>
      <c r="F171" t="str">
        <f>IF(B171="","",VLOOKUP(B171,Stock!$A$5:$B$21,2,FALSE))</f>
        <v/>
      </c>
    </row>
    <row r="172" spans="5:6" x14ac:dyDescent="0.25">
      <c r="E172" t="str">
        <f t="shared" si="2"/>
        <v/>
      </c>
      <c r="F172" t="str">
        <f>IF(B172="","",VLOOKUP(B172,Stock!$A$5:$B$21,2,FALSE))</f>
        <v/>
      </c>
    </row>
    <row r="173" spans="5:6" x14ac:dyDescent="0.25">
      <c r="E173" t="str">
        <f t="shared" si="2"/>
        <v/>
      </c>
      <c r="F173" t="str">
        <f>IF(B173="","",VLOOKUP(B173,Stock!$A$5:$B$21,2,FALSE))</f>
        <v/>
      </c>
    </row>
    <row r="174" spans="5:6" x14ac:dyDescent="0.25">
      <c r="E174" t="str">
        <f t="shared" si="2"/>
        <v/>
      </c>
      <c r="F174" t="str">
        <f>IF(B174="","",VLOOKUP(B174,Stock!$A$5:$B$21,2,FALSE))</f>
        <v/>
      </c>
    </row>
    <row r="175" spans="5:6" x14ac:dyDescent="0.25">
      <c r="E175" t="str">
        <f t="shared" si="2"/>
        <v/>
      </c>
      <c r="F175" t="str">
        <f>IF(B175="","",VLOOKUP(B175,Stock!$A$5:$B$21,2,FALSE))</f>
        <v/>
      </c>
    </row>
    <row r="176" spans="5:6" x14ac:dyDescent="0.25">
      <c r="E176" t="str">
        <f t="shared" si="2"/>
        <v/>
      </c>
      <c r="F176" t="str">
        <f>IF(B176="","",VLOOKUP(B176,Stock!$A$5:$B$21,2,FALSE))</f>
        <v/>
      </c>
    </row>
    <row r="177" spans="5:6" x14ac:dyDescent="0.25">
      <c r="E177" t="str">
        <f t="shared" si="2"/>
        <v/>
      </c>
      <c r="F177" t="str">
        <f>IF(B177="","",VLOOKUP(B177,Stock!$A$5:$B$21,2,FALSE))</f>
        <v/>
      </c>
    </row>
    <row r="178" spans="5:6" x14ac:dyDescent="0.25">
      <c r="E178" t="str">
        <f t="shared" si="2"/>
        <v/>
      </c>
      <c r="F178" t="str">
        <f>IF(B178="","",VLOOKUP(B178,Stock!$A$5:$B$21,2,FALSE))</f>
        <v/>
      </c>
    </row>
    <row r="179" spans="5:6" x14ac:dyDescent="0.25">
      <c r="E179" t="str">
        <f t="shared" si="2"/>
        <v/>
      </c>
      <c r="F179" t="str">
        <f>IF(B179="","",VLOOKUP(B179,Stock!$A$5:$B$21,2,FALSE))</f>
        <v/>
      </c>
    </row>
    <row r="180" spans="5:6" x14ac:dyDescent="0.25">
      <c r="E180" t="str">
        <f t="shared" si="2"/>
        <v/>
      </c>
      <c r="F180" t="str">
        <f>IF(B180="","",VLOOKUP(B180,Stock!$A$5:$B$21,2,FALSE))</f>
        <v/>
      </c>
    </row>
    <row r="181" spans="5:6" x14ac:dyDescent="0.25">
      <c r="E181" t="str">
        <f t="shared" si="2"/>
        <v/>
      </c>
      <c r="F181" t="str">
        <f>IF(B181="","",VLOOKUP(B181,Stock!$A$5:$B$21,2,FALSE))</f>
        <v/>
      </c>
    </row>
    <row r="182" spans="5:6" x14ac:dyDescent="0.25">
      <c r="E182" t="str">
        <f t="shared" si="2"/>
        <v/>
      </c>
      <c r="F182" t="str">
        <f>IF(B182="","",VLOOKUP(B182,Stock!$A$5:$B$21,2,FALSE))</f>
        <v/>
      </c>
    </row>
    <row r="183" spans="5:6" x14ac:dyDescent="0.25">
      <c r="E183" t="str">
        <f t="shared" si="2"/>
        <v/>
      </c>
      <c r="F183" t="str">
        <f>IF(B183="","",VLOOKUP(B183,Stock!$A$5:$B$21,2,FALSE))</f>
        <v/>
      </c>
    </row>
    <row r="184" spans="5:6" x14ac:dyDescent="0.25">
      <c r="E184" t="str">
        <f t="shared" si="2"/>
        <v/>
      </c>
      <c r="F184" t="str">
        <f>IF(B184="","",VLOOKUP(B184,Stock!$A$5:$B$21,2,FALSE))</f>
        <v/>
      </c>
    </row>
    <row r="185" spans="5:6" x14ac:dyDescent="0.25">
      <c r="E185" t="str">
        <f t="shared" si="2"/>
        <v/>
      </c>
      <c r="F185" t="str">
        <f>IF(B185="","",VLOOKUP(B185,Stock!$A$5:$B$21,2,FALSE))</f>
        <v/>
      </c>
    </row>
    <row r="186" spans="5:6" x14ac:dyDescent="0.25">
      <c r="E186" t="str">
        <f t="shared" si="2"/>
        <v/>
      </c>
      <c r="F186" t="str">
        <f>IF(B186="","",VLOOKUP(B186,Stock!$A$5:$B$21,2,FALSE))</f>
        <v/>
      </c>
    </row>
    <row r="187" spans="5:6" x14ac:dyDescent="0.25">
      <c r="E187" t="str">
        <f t="shared" si="2"/>
        <v/>
      </c>
      <c r="F187" t="str">
        <f>IF(B187="","",VLOOKUP(B187,Stock!$A$5:$B$21,2,FALSE))</f>
        <v/>
      </c>
    </row>
    <row r="188" spans="5:6" x14ac:dyDescent="0.25">
      <c r="E188" t="str">
        <f t="shared" si="2"/>
        <v/>
      </c>
      <c r="F188" t="str">
        <f>IF(B188="","",VLOOKUP(B188,Stock!$A$5:$B$21,2,FALSE))</f>
        <v/>
      </c>
    </row>
    <row r="189" spans="5:6" x14ac:dyDescent="0.25">
      <c r="E189" t="str">
        <f t="shared" si="2"/>
        <v/>
      </c>
      <c r="F189" t="str">
        <f>IF(B189="","",VLOOKUP(B189,Stock!$A$5:$B$21,2,FALSE))</f>
        <v/>
      </c>
    </row>
    <row r="190" spans="5:6" x14ac:dyDescent="0.25">
      <c r="E190" t="str">
        <f t="shared" si="2"/>
        <v/>
      </c>
      <c r="F190" t="str">
        <f>IF(B190="","",VLOOKUP(B190,Stock!$A$5:$B$21,2,FALSE))</f>
        <v/>
      </c>
    </row>
    <row r="191" spans="5:6" x14ac:dyDescent="0.25">
      <c r="E191" t="str">
        <f t="shared" si="2"/>
        <v/>
      </c>
      <c r="F191" t="str">
        <f>IF(B191="","",VLOOKUP(B191,Stock!$A$5:$B$21,2,FALSE))</f>
        <v/>
      </c>
    </row>
    <row r="192" spans="5:6" x14ac:dyDescent="0.25">
      <c r="E192" t="str">
        <f t="shared" si="2"/>
        <v/>
      </c>
      <c r="F192" t="str">
        <f>IF(B192="","",VLOOKUP(B192,Stock!$A$5:$B$21,2,FALSE))</f>
        <v/>
      </c>
    </row>
    <row r="193" spans="5:6" x14ac:dyDescent="0.25">
      <c r="E193" t="str">
        <f t="shared" si="2"/>
        <v/>
      </c>
      <c r="F193" t="str">
        <f>IF(B193="","",VLOOKUP(B193,Stock!$A$5:$B$21,2,FALSE))</f>
        <v/>
      </c>
    </row>
    <row r="194" spans="5:6" x14ac:dyDescent="0.25">
      <c r="E194" t="str">
        <f t="shared" si="2"/>
        <v/>
      </c>
      <c r="F194" t="str">
        <f>IF(B194="","",VLOOKUP(B194,Stock!$A$5:$B$21,2,FALSE))</f>
        <v/>
      </c>
    </row>
    <row r="195" spans="5:6" x14ac:dyDescent="0.25">
      <c r="E195" t="str">
        <f t="shared" si="2"/>
        <v/>
      </c>
      <c r="F195" t="str">
        <f>IF(B195="","",VLOOKUP(B195,Stock!$A$5:$B$21,2,FALSE))</f>
        <v/>
      </c>
    </row>
    <row r="196" spans="5:6" x14ac:dyDescent="0.25">
      <c r="E196" t="str">
        <f t="shared" si="2"/>
        <v/>
      </c>
      <c r="F196" t="str">
        <f>IF(B196="","",VLOOKUP(B196,Stock!$A$5:$B$21,2,FALSE))</f>
        <v/>
      </c>
    </row>
    <row r="197" spans="5:6" x14ac:dyDescent="0.25">
      <c r="E197" t="str">
        <f t="shared" ref="E197:E260" si="3">IF(OR(C197="",D197=""),"",C197*D197)</f>
        <v/>
      </c>
      <c r="F197" t="str">
        <f>IF(B197="","",VLOOKUP(B197,Stock!$A$5:$B$21,2,FALSE))</f>
        <v/>
      </c>
    </row>
    <row r="198" spans="5:6" x14ac:dyDescent="0.25">
      <c r="E198" t="str">
        <f t="shared" si="3"/>
        <v/>
      </c>
      <c r="F198" t="str">
        <f>IF(B198="","",VLOOKUP(B198,Stock!$A$5:$B$21,2,FALSE))</f>
        <v/>
      </c>
    </row>
    <row r="199" spans="5:6" x14ac:dyDescent="0.25">
      <c r="E199" t="str">
        <f t="shared" si="3"/>
        <v/>
      </c>
      <c r="F199" t="str">
        <f>IF(B199="","",VLOOKUP(B199,Stock!$A$5:$B$21,2,FALSE))</f>
        <v/>
      </c>
    </row>
    <row r="200" spans="5:6" x14ac:dyDescent="0.25">
      <c r="E200" t="str">
        <f t="shared" si="3"/>
        <v/>
      </c>
      <c r="F200" t="str">
        <f>IF(B200="","",VLOOKUP(B200,Stock!$A$5:$B$21,2,FALSE))</f>
        <v/>
      </c>
    </row>
    <row r="201" spans="5:6" x14ac:dyDescent="0.25">
      <c r="E201" t="str">
        <f t="shared" si="3"/>
        <v/>
      </c>
      <c r="F201" t="str">
        <f>IF(B201="","",VLOOKUP(B201,Stock!$A$5:$B$21,2,FALSE))</f>
        <v/>
      </c>
    </row>
    <row r="202" spans="5:6" x14ac:dyDescent="0.25">
      <c r="E202" t="str">
        <f t="shared" si="3"/>
        <v/>
      </c>
      <c r="F202" t="str">
        <f>IF(B202="","",VLOOKUP(B202,Stock!$A$5:$B$21,2,FALSE))</f>
        <v/>
      </c>
    </row>
    <row r="203" spans="5:6" x14ac:dyDescent="0.25">
      <c r="E203" t="str">
        <f t="shared" si="3"/>
        <v/>
      </c>
      <c r="F203" t="str">
        <f>IF(B203="","",VLOOKUP(B203,Stock!$A$5:$B$21,2,FALSE))</f>
        <v/>
      </c>
    </row>
    <row r="204" spans="5:6" x14ac:dyDescent="0.25">
      <c r="E204" t="str">
        <f t="shared" si="3"/>
        <v/>
      </c>
      <c r="F204" t="str">
        <f>IF(B204="","",VLOOKUP(B204,Stock!$A$5:$B$21,2,FALSE))</f>
        <v/>
      </c>
    </row>
    <row r="205" spans="5:6" x14ac:dyDescent="0.25">
      <c r="E205" t="str">
        <f t="shared" si="3"/>
        <v/>
      </c>
      <c r="F205" t="str">
        <f>IF(B205="","",VLOOKUP(B205,Stock!$A$5:$B$21,2,FALSE))</f>
        <v/>
      </c>
    </row>
    <row r="206" spans="5:6" x14ac:dyDescent="0.25">
      <c r="E206" t="str">
        <f t="shared" si="3"/>
        <v/>
      </c>
      <c r="F206" t="str">
        <f>IF(B206="","",VLOOKUP(B206,Stock!$A$5:$B$21,2,FALSE))</f>
        <v/>
      </c>
    </row>
    <row r="207" spans="5:6" x14ac:dyDescent="0.25">
      <c r="E207" t="str">
        <f t="shared" si="3"/>
        <v/>
      </c>
      <c r="F207" t="str">
        <f>IF(B207="","",VLOOKUP(B207,Stock!$A$5:$B$21,2,FALSE))</f>
        <v/>
      </c>
    </row>
    <row r="208" spans="5:6" x14ac:dyDescent="0.25">
      <c r="E208" t="str">
        <f t="shared" si="3"/>
        <v/>
      </c>
      <c r="F208" t="str">
        <f>IF(B208="","",VLOOKUP(B208,Stock!$A$5:$B$21,2,FALSE))</f>
        <v/>
      </c>
    </row>
    <row r="209" spans="5:6" x14ac:dyDescent="0.25">
      <c r="E209" t="str">
        <f t="shared" si="3"/>
        <v/>
      </c>
      <c r="F209" t="str">
        <f>IF(B209="","",VLOOKUP(B209,Stock!$A$5:$B$21,2,FALSE))</f>
        <v/>
      </c>
    </row>
    <row r="210" spans="5:6" x14ac:dyDescent="0.25">
      <c r="E210" t="str">
        <f t="shared" si="3"/>
        <v/>
      </c>
      <c r="F210" t="str">
        <f>IF(B210="","",VLOOKUP(B210,Stock!$A$5:$B$21,2,FALSE))</f>
        <v/>
      </c>
    </row>
    <row r="211" spans="5:6" x14ac:dyDescent="0.25">
      <c r="E211" t="str">
        <f t="shared" si="3"/>
        <v/>
      </c>
      <c r="F211" t="str">
        <f>IF(B211="","",VLOOKUP(B211,Stock!$A$5:$B$21,2,FALSE))</f>
        <v/>
      </c>
    </row>
    <row r="212" spans="5:6" x14ac:dyDescent="0.25">
      <c r="E212" t="str">
        <f t="shared" si="3"/>
        <v/>
      </c>
      <c r="F212" t="str">
        <f>IF(B212="","",VLOOKUP(B212,Stock!$A$5:$B$21,2,FALSE))</f>
        <v/>
      </c>
    </row>
    <row r="213" spans="5:6" x14ac:dyDescent="0.25">
      <c r="E213" t="str">
        <f t="shared" si="3"/>
        <v/>
      </c>
      <c r="F213" t="str">
        <f>IF(B213="","",VLOOKUP(B213,Stock!$A$5:$B$21,2,FALSE))</f>
        <v/>
      </c>
    </row>
    <row r="214" spans="5:6" x14ac:dyDescent="0.25">
      <c r="E214" t="str">
        <f t="shared" si="3"/>
        <v/>
      </c>
      <c r="F214" t="str">
        <f>IF(B214="","",VLOOKUP(B214,Stock!$A$5:$B$21,2,FALSE))</f>
        <v/>
      </c>
    </row>
    <row r="215" spans="5:6" x14ac:dyDescent="0.25">
      <c r="E215" t="str">
        <f t="shared" si="3"/>
        <v/>
      </c>
      <c r="F215" t="str">
        <f>IF(B215="","",VLOOKUP(B215,Stock!$A$5:$B$21,2,FALSE))</f>
        <v/>
      </c>
    </row>
    <row r="216" spans="5:6" x14ac:dyDescent="0.25">
      <c r="E216" t="str">
        <f t="shared" si="3"/>
        <v/>
      </c>
      <c r="F216" t="str">
        <f>IF(B216="","",VLOOKUP(B216,Stock!$A$5:$B$21,2,FALSE))</f>
        <v/>
      </c>
    </row>
    <row r="217" spans="5:6" x14ac:dyDescent="0.25">
      <c r="E217" t="str">
        <f t="shared" si="3"/>
        <v/>
      </c>
      <c r="F217" t="str">
        <f>IF(B217="","",VLOOKUP(B217,Stock!$A$5:$B$21,2,FALSE))</f>
        <v/>
      </c>
    </row>
    <row r="218" spans="5:6" x14ac:dyDescent="0.25">
      <c r="E218" t="str">
        <f t="shared" si="3"/>
        <v/>
      </c>
      <c r="F218" t="str">
        <f>IF(B218="","",VLOOKUP(B218,Stock!$A$5:$B$21,2,FALSE))</f>
        <v/>
      </c>
    </row>
    <row r="219" spans="5:6" x14ac:dyDescent="0.25">
      <c r="E219" t="str">
        <f t="shared" si="3"/>
        <v/>
      </c>
      <c r="F219" t="str">
        <f>IF(B219="","",VLOOKUP(B219,Stock!$A$5:$B$21,2,FALSE))</f>
        <v/>
      </c>
    </row>
    <row r="220" spans="5:6" x14ac:dyDescent="0.25">
      <c r="E220" t="str">
        <f t="shared" si="3"/>
        <v/>
      </c>
      <c r="F220" t="str">
        <f>IF(B220="","",VLOOKUP(B220,Stock!$A$5:$B$21,2,FALSE))</f>
        <v/>
      </c>
    </row>
    <row r="221" spans="5:6" x14ac:dyDescent="0.25">
      <c r="E221" t="str">
        <f t="shared" si="3"/>
        <v/>
      </c>
      <c r="F221" t="str">
        <f>IF(B221="","",VLOOKUP(B221,Stock!$A$5:$B$21,2,FALSE))</f>
        <v/>
      </c>
    </row>
    <row r="222" spans="5:6" x14ac:dyDescent="0.25">
      <c r="E222" t="str">
        <f t="shared" si="3"/>
        <v/>
      </c>
      <c r="F222" t="str">
        <f>IF(B222="","",VLOOKUP(B222,Stock!$A$5:$B$21,2,FALSE))</f>
        <v/>
      </c>
    </row>
    <row r="223" spans="5:6" x14ac:dyDescent="0.25">
      <c r="E223" t="str">
        <f t="shared" si="3"/>
        <v/>
      </c>
      <c r="F223" t="str">
        <f>IF(B223="","",VLOOKUP(B223,Stock!$A$5:$B$21,2,FALSE))</f>
        <v/>
      </c>
    </row>
    <row r="224" spans="5:6" x14ac:dyDescent="0.25">
      <c r="E224" t="str">
        <f t="shared" si="3"/>
        <v/>
      </c>
      <c r="F224" t="str">
        <f>IF(B224="","",VLOOKUP(B224,Stock!$A$5:$B$21,2,FALSE))</f>
        <v/>
      </c>
    </row>
    <row r="225" spans="5:6" x14ac:dyDescent="0.25">
      <c r="E225" t="str">
        <f t="shared" si="3"/>
        <v/>
      </c>
      <c r="F225" t="str">
        <f>IF(B225="","",VLOOKUP(B225,Stock!$A$5:$B$21,2,FALSE))</f>
        <v/>
      </c>
    </row>
    <row r="226" spans="5:6" x14ac:dyDescent="0.25">
      <c r="E226" t="str">
        <f t="shared" si="3"/>
        <v/>
      </c>
      <c r="F226" t="str">
        <f>IF(B226="","",VLOOKUP(B226,Stock!$A$5:$B$21,2,FALSE))</f>
        <v/>
      </c>
    </row>
    <row r="227" spans="5:6" x14ac:dyDescent="0.25">
      <c r="E227" t="str">
        <f t="shared" si="3"/>
        <v/>
      </c>
      <c r="F227" t="str">
        <f>IF(B227="","",VLOOKUP(B227,Stock!$A$5:$B$21,2,FALSE))</f>
        <v/>
      </c>
    </row>
    <row r="228" spans="5:6" x14ac:dyDescent="0.25">
      <c r="E228" t="str">
        <f t="shared" si="3"/>
        <v/>
      </c>
      <c r="F228" t="str">
        <f>IF(B228="","",VLOOKUP(B228,Stock!$A$5:$B$21,2,FALSE))</f>
        <v/>
      </c>
    </row>
    <row r="229" spans="5:6" x14ac:dyDescent="0.25">
      <c r="E229" t="str">
        <f t="shared" si="3"/>
        <v/>
      </c>
      <c r="F229" t="str">
        <f>IF(B229="","",VLOOKUP(B229,Stock!$A$5:$B$21,2,FALSE))</f>
        <v/>
      </c>
    </row>
    <row r="230" spans="5:6" x14ac:dyDescent="0.25">
      <c r="E230" t="str">
        <f t="shared" si="3"/>
        <v/>
      </c>
      <c r="F230" t="str">
        <f>IF(B230="","",VLOOKUP(B230,Stock!$A$5:$B$21,2,FALSE))</f>
        <v/>
      </c>
    </row>
    <row r="231" spans="5:6" x14ac:dyDescent="0.25">
      <c r="E231" t="str">
        <f t="shared" si="3"/>
        <v/>
      </c>
      <c r="F231" t="str">
        <f>IF(B231="","",VLOOKUP(B231,Stock!$A$5:$B$21,2,FALSE))</f>
        <v/>
      </c>
    </row>
    <row r="232" spans="5:6" x14ac:dyDescent="0.25">
      <c r="E232" t="str">
        <f t="shared" si="3"/>
        <v/>
      </c>
      <c r="F232" t="str">
        <f>IF(B232="","",VLOOKUP(B232,Stock!$A$5:$B$21,2,FALSE))</f>
        <v/>
      </c>
    </row>
    <row r="233" spans="5:6" x14ac:dyDescent="0.25">
      <c r="E233" t="str">
        <f t="shared" si="3"/>
        <v/>
      </c>
      <c r="F233" t="str">
        <f>IF(B233="","",VLOOKUP(B233,Stock!$A$5:$B$21,2,FALSE))</f>
        <v/>
      </c>
    </row>
    <row r="234" spans="5:6" x14ac:dyDescent="0.25">
      <c r="E234" t="str">
        <f t="shared" si="3"/>
        <v/>
      </c>
      <c r="F234" t="str">
        <f>IF(B234="","",VLOOKUP(B234,Stock!$A$5:$B$21,2,FALSE))</f>
        <v/>
      </c>
    </row>
    <row r="235" spans="5:6" x14ac:dyDescent="0.25">
      <c r="E235" t="str">
        <f t="shared" si="3"/>
        <v/>
      </c>
      <c r="F235" t="str">
        <f>IF(B235="","",VLOOKUP(B235,Stock!$A$5:$B$21,2,FALSE))</f>
        <v/>
      </c>
    </row>
    <row r="236" spans="5:6" x14ac:dyDescent="0.25">
      <c r="E236" t="str">
        <f t="shared" si="3"/>
        <v/>
      </c>
      <c r="F236" t="str">
        <f>IF(B236="","",VLOOKUP(B236,Stock!$A$5:$B$21,2,FALSE))</f>
        <v/>
      </c>
    </row>
    <row r="237" spans="5:6" x14ac:dyDescent="0.25">
      <c r="E237" t="str">
        <f t="shared" si="3"/>
        <v/>
      </c>
      <c r="F237" t="str">
        <f>IF(B237="","",VLOOKUP(B237,Stock!$A$5:$B$21,2,FALSE))</f>
        <v/>
      </c>
    </row>
    <row r="238" spans="5:6" x14ac:dyDescent="0.25">
      <c r="E238" t="str">
        <f t="shared" si="3"/>
        <v/>
      </c>
      <c r="F238" t="str">
        <f>IF(B238="","",VLOOKUP(B238,Stock!$A$5:$B$21,2,FALSE))</f>
        <v/>
      </c>
    </row>
    <row r="239" spans="5:6" x14ac:dyDescent="0.25">
      <c r="E239" t="str">
        <f t="shared" si="3"/>
        <v/>
      </c>
      <c r="F239" t="str">
        <f>IF(B239="","",VLOOKUP(B239,Stock!$A$5:$B$21,2,FALSE))</f>
        <v/>
      </c>
    </row>
    <row r="240" spans="5:6" x14ac:dyDescent="0.25">
      <c r="E240" t="str">
        <f t="shared" si="3"/>
        <v/>
      </c>
      <c r="F240" t="str">
        <f>IF(B240="","",VLOOKUP(B240,Stock!$A$5:$B$21,2,FALSE))</f>
        <v/>
      </c>
    </row>
    <row r="241" spans="5:6" x14ac:dyDescent="0.25">
      <c r="E241" t="str">
        <f t="shared" si="3"/>
        <v/>
      </c>
      <c r="F241" t="str">
        <f>IF(B241="","",VLOOKUP(B241,Stock!$A$5:$B$21,2,FALSE))</f>
        <v/>
      </c>
    </row>
    <row r="242" spans="5:6" x14ac:dyDescent="0.25">
      <c r="E242" t="str">
        <f t="shared" si="3"/>
        <v/>
      </c>
      <c r="F242" t="str">
        <f>IF(B242="","",VLOOKUP(B242,Stock!$A$5:$B$21,2,FALSE))</f>
        <v/>
      </c>
    </row>
    <row r="243" spans="5:6" x14ac:dyDescent="0.25">
      <c r="E243" t="str">
        <f t="shared" si="3"/>
        <v/>
      </c>
      <c r="F243" t="str">
        <f>IF(B243="","",VLOOKUP(B243,Stock!$A$5:$B$21,2,FALSE))</f>
        <v/>
      </c>
    </row>
    <row r="244" spans="5:6" x14ac:dyDescent="0.25">
      <c r="E244" t="str">
        <f t="shared" si="3"/>
        <v/>
      </c>
      <c r="F244" t="str">
        <f>IF(B244="","",VLOOKUP(B244,Stock!$A$5:$B$21,2,FALSE))</f>
        <v/>
      </c>
    </row>
    <row r="245" spans="5:6" x14ac:dyDescent="0.25">
      <c r="E245" t="str">
        <f t="shared" si="3"/>
        <v/>
      </c>
      <c r="F245" t="str">
        <f>IF(B245="","",VLOOKUP(B245,Stock!$A$5:$B$21,2,FALSE))</f>
        <v/>
      </c>
    </row>
    <row r="246" spans="5:6" x14ac:dyDescent="0.25">
      <c r="E246" t="str">
        <f t="shared" si="3"/>
        <v/>
      </c>
      <c r="F246" t="str">
        <f>IF(B246="","",VLOOKUP(B246,Stock!$A$5:$B$21,2,FALSE))</f>
        <v/>
      </c>
    </row>
    <row r="247" spans="5:6" x14ac:dyDescent="0.25">
      <c r="E247" t="str">
        <f t="shared" si="3"/>
        <v/>
      </c>
      <c r="F247" t="str">
        <f>IF(B247="","",VLOOKUP(B247,Stock!$A$5:$B$21,2,FALSE))</f>
        <v/>
      </c>
    </row>
    <row r="248" spans="5:6" x14ac:dyDescent="0.25">
      <c r="E248" t="str">
        <f t="shared" si="3"/>
        <v/>
      </c>
      <c r="F248" t="str">
        <f>IF(B248="","",VLOOKUP(B248,Stock!$A$5:$B$21,2,FALSE))</f>
        <v/>
      </c>
    </row>
    <row r="249" spans="5:6" x14ac:dyDescent="0.25">
      <c r="E249" t="str">
        <f t="shared" si="3"/>
        <v/>
      </c>
      <c r="F249" t="str">
        <f>IF(B249="","",VLOOKUP(B249,Stock!$A$5:$B$21,2,FALSE))</f>
        <v/>
      </c>
    </row>
    <row r="250" spans="5:6" x14ac:dyDescent="0.25">
      <c r="E250" t="str">
        <f t="shared" si="3"/>
        <v/>
      </c>
      <c r="F250" t="str">
        <f>IF(B250="","",VLOOKUP(B250,Stock!$A$5:$B$21,2,FALSE))</f>
        <v/>
      </c>
    </row>
    <row r="251" spans="5:6" x14ac:dyDescent="0.25">
      <c r="E251" t="str">
        <f t="shared" si="3"/>
        <v/>
      </c>
      <c r="F251" t="str">
        <f>IF(B251="","",VLOOKUP(B251,Stock!$A$5:$B$21,2,FALSE))</f>
        <v/>
      </c>
    </row>
    <row r="252" spans="5:6" x14ac:dyDescent="0.25">
      <c r="E252" t="str">
        <f t="shared" si="3"/>
        <v/>
      </c>
      <c r="F252" t="str">
        <f>IF(B252="","",VLOOKUP(B252,Stock!$A$5:$B$21,2,FALSE))</f>
        <v/>
      </c>
    </row>
    <row r="253" spans="5:6" x14ac:dyDescent="0.25">
      <c r="E253" t="str">
        <f t="shared" si="3"/>
        <v/>
      </c>
      <c r="F253" t="str">
        <f>IF(B253="","",VLOOKUP(B253,Stock!$A$5:$B$21,2,FALSE))</f>
        <v/>
      </c>
    </row>
    <row r="254" spans="5:6" x14ac:dyDescent="0.25">
      <c r="E254" t="str">
        <f t="shared" si="3"/>
        <v/>
      </c>
      <c r="F254" t="str">
        <f>IF(B254="","",VLOOKUP(B254,Stock!$A$5:$B$21,2,FALSE))</f>
        <v/>
      </c>
    </row>
    <row r="255" spans="5:6" x14ac:dyDescent="0.25">
      <c r="E255" t="str">
        <f t="shared" si="3"/>
        <v/>
      </c>
      <c r="F255" t="str">
        <f>IF(B255="","",VLOOKUP(B255,Stock!$A$5:$B$21,2,FALSE))</f>
        <v/>
      </c>
    </row>
    <row r="256" spans="5:6" x14ac:dyDescent="0.25">
      <c r="E256" t="str">
        <f t="shared" si="3"/>
        <v/>
      </c>
      <c r="F256" t="str">
        <f>IF(B256="","",VLOOKUP(B256,Stock!$A$5:$B$21,2,FALSE))</f>
        <v/>
      </c>
    </row>
    <row r="257" spans="5:6" x14ac:dyDescent="0.25">
      <c r="E257" t="str">
        <f t="shared" si="3"/>
        <v/>
      </c>
      <c r="F257" t="str">
        <f>IF(B257="","",VLOOKUP(B257,Stock!$A$5:$B$21,2,FALSE))</f>
        <v/>
      </c>
    </row>
    <row r="258" spans="5:6" x14ac:dyDescent="0.25">
      <c r="E258" t="str">
        <f t="shared" si="3"/>
        <v/>
      </c>
      <c r="F258" t="str">
        <f>IF(B258="","",VLOOKUP(B258,Stock!$A$5:$B$21,2,FALSE))</f>
        <v/>
      </c>
    </row>
    <row r="259" spans="5:6" x14ac:dyDescent="0.25">
      <c r="E259" t="str">
        <f t="shared" si="3"/>
        <v/>
      </c>
      <c r="F259" t="str">
        <f>IF(B259="","",VLOOKUP(B259,Stock!$A$5:$B$21,2,FALSE))</f>
        <v/>
      </c>
    </row>
    <row r="260" spans="5:6" x14ac:dyDescent="0.25">
      <c r="E260" t="str">
        <f t="shared" si="3"/>
        <v/>
      </c>
      <c r="F260" t="str">
        <f>IF(B260="","",VLOOKUP(B260,Stock!$A$5:$B$21,2,FALSE))</f>
        <v/>
      </c>
    </row>
    <row r="261" spans="5:6" x14ac:dyDescent="0.25">
      <c r="E261" t="str">
        <f t="shared" ref="E261:E324" si="4">IF(OR(C261="",D261=""),"",C261*D261)</f>
        <v/>
      </c>
      <c r="F261" t="str">
        <f>IF(B261="","",VLOOKUP(B261,Stock!$A$5:$B$21,2,FALSE))</f>
        <v/>
      </c>
    </row>
    <row r="262" spans="5:6" x14ac:dyDescent="0.25">
      <c r="E262" t="str">
        <f t="shared" si="4"/>
        <v/>
      </c>
      <c r="F262" t="str">
        <f>IF(B262="","",VLOOKUP(B262,Stock!$A$5:$B$21,2,FALSE))</f>
        <v/>
      </c>
    </row>
    <row r="263" spans="5:6" x14ac:dyDescent="0.25">
      <c r="E263" t="str">
        <f t="shared" si="4"/>
        <v/>
      </c>
      <c r="F263" t="str">
        <f>IF(B263="","",VLOOKUP(B263,Stock!$A$5:$B$21,2,FALSE))</f>
        <v/>
      </c>
    </row>
    <row r="264" spans="5:6" x14ac:dyDescent="0.25">
      <c r="E264" t="str">
        <f t="shared" si="4"/>
        <v/>
      </c>
      <c r="F264" t="str">
        <f>IF(B264="","",VLOOKUP(B264,Stock!$A$5:$B$21,2,FALSE))</f>
        <v/>
      </c>
    </row>
    <row r="265" spans="5:6" x14ac:dyDescent="0.25">
      <c r="E265" t="str">
        <f t="shared" si="4"/>
        <v/>
      </c>
      <c r="F265" t="str">
        <f>IF(B265="","",VLOOKUP(B265,Stock!$A$5:$B$21,2,FALSE))</f>
        <v/>
      </c>
    </row>
    <row r="266" spans="5:6" x14ac:dyDescent="0.25">
      <c r="E266" t="str">
        <f t="shared" si="4"/>
        <v/>
      </c>
      <c r="F266" t="str">
        <f>IF(B266="","",VLOOKUP(B266,Stock!$A$5:$B$21,2,FALSE))</f>
        <v/>
      </c>
    </row>
    <row r="267" spans="5:6" x14ac:dyDescent="0.25">
      <c r="E267" t="str">
        <f t="shared" si="4"/>
        <v/>
      </c>
      <c r="F267" t="str">
        <f>IF(B267="","",VLOOKUP(B267,Stock!$A$5:$B$21,2,FALSE))</f>
        <v/>
      </c>
    </row>
    <row r="268" spans="5:6" x14ac:dyDescent="0.25">
      <c r="E268" t="str">
        <f t="shared" si="4"/>
        <v/>
      </c>
      <c r="F268" t="str">
        <f>IF(B268="","",VLOOKUP(B268,Stock!$A$5:$B$21,2,FALSE))</f>
        <v/>
      </c>
    </row>
    <row r="269" spans="5:6" x14ac:dyDescent="0.25">
      <c r="E269" t="str">
        <f t="shared" si="4"/>
        <v/>
      </c>
      <c r="F269" t="str">
        <f>IF(B269="","",VLOOKUP(B269,Stock!$A$5:$B$21,2,FALSE))</f>
        <v/>
      </c>
    </row>
    <row r="270" spans="5:6" x14ac:dyDescent="0.25">
      <c r="E270" t="str">
        <f t="shared" si="4"/>
        <v/>
      </c>
      <c r="F270" t="str">
        <f>IF(B270="","",VLOOKUP(B270,Stock!$A$5:$B$21,2,FALSE))</f>
        <v/>
      </c>
    </row>
    <row r="271" spans="5:6" x14ac:dyDescent="0.25">
      <c r="E271" t="str">
        <f t="shared" si="4"/>
        <v/>
      </c>
      <c r="F271" t="str">
        <f>IF(B271="","",VLOOKUP(B271,Stock!$A$5:$B$21,2,FALSE))</f>
        <v/>
      </c>
    </row>
    <row r="272" spans="5:6" x14ac:dyDescent="0.25">
      <c r="E272" t="str">
        <f t="shared" si="4"/>
        <v/>
      </c>
      <c r="F272" t="str">
        <f>IF(B272="","",VLOOKUP(B272,Stock!$A$5:$B$21,2,FALSE))</f>
        <v/>
      </c>
    </row>
    <row r="273" spans="5:6" x14ac:dyDescent="0.25">
      <c r="E273" t="str">
        <f t="shared" si="4"/>
        <v/>
      </c>
      <c r="F273" t="str">
        <f>IF(B273="","",VLOOKUP(B273,Stock!$A$5:$B$21,2,FALSE))</f>
        <v/>
      </c>
    </row>
    <row r="274" spans="5:6" x14ac:dyDescent="0.25">
      <c r="E274" t="str">
        <f t="shared" si="4"/>
        <v/>
      </c>
      <c r="F274" t="str">
        <f>IF(B274="","",VLOOKUP(B274,Stock!$A$5:$B$21,2,FALSE))</f>
        <v/>
      </c>
    </row>
    <row r="275" spans="5:6" x14ac:dyDescent="0.25">
      <c r="E275" t="str">
        <f t="shared" si="4"/>
        <v/>
      </c>
      <c r="F275" t="str">
        <f>IF(B275="","",VLOOKUP(B275,Stock!$A$5:$B$21,2,FALSE))</f>
        <v/>
      </c>
    </row>
    <row r="276" spans="5:6" x14ac:dyDescent="0.25">
      <c r="E276" t="str">
        <f t="shared" si="4"/>
        <v/>
      </c>
      <c r="F276" t="str">
        <f>IF(B276="","",VLOOKUP(B276,Stock!$A$5:$B$21,2,FALSE))</f>
        <v/>
      </c>
    </row>
    <row r="277" spans="5:6" x14ac:dyDescent="0.25">
      <c r="E277" t="str">
        <f t="shared" si="4"/>
        <v/>
      </c>
      <c r="F277" t="str">
        <f>IF(B277="","",VLOOKUP(B277,Stock!$A$5:$B$21,2,FALSE))</f>
        <v/>
      </c>
    </row>
    <row r="278" spans="5:6" x14ac:dyDescent="0.25">
      <c r="E278" t="str">
        <f t="shared" si="4"/>
        <v/>
      </c>
      <c r="F278" t="str">
        <f>IF(B278="","",VLOOKUP(B278,Stock!$A$5:$B$21,2,FALSE))</f>
        <v/>
      </c>
    </row>
    <row r="279" spans="5:6" x14ac:dyDescent="0.25">
      <c r="E279" t="str">
        <f t="shared" si="4"/>
        <v/>
      </c>
      <c r="F279" t="str">
        <f>IF(B279="","",VLOOKUP(B279,Stock!$A$5:$B$21,2,FALSE))</f>
        <v/>
      </c>
    </row>
    <row r="280" spans="5:6" x14ac:dyDescent="0.25">
      <c r="E280" t="str">
        <f t="shared" si="4"/>
        <v/>
      </c>
      <c r="F280" t="str">
        <f>IF(B280="","",VLOOKUP(B280,Stock!$A$5:$B$21,2,FALSE))</f>
        <v/>
      </c>
    </row>
    <row r="281" spans="5:6" x14ac:dyDescent="0.25">
      <c r="E281" t="str">
        <f t="shared" si="4"/>
        <v/>
      </c>
      <c r="F281" t="str">
        <f>IF(B281="","",VLOOKUP(B281,Stock!$A$5:$B$21,2,FALSE))</f>
        <v/>
      </c>
    </row>
    <row r="282" spans="5:6" x14ac:dyDescent="0.25">
      <c r="E282" t="str">
        <f t="shared" si="4"/>
        <v/>
      </c>
      <c r="F282" t="str">
        <f>IF(B282="","",VLOOKUP(B282,Stock!$A$5:$B$21,2,FALSE))</f>
        <v/>
      </c>
    </row>
    <row r="283" spans="5:6" x14ac:dyDescent="0.25">
      <c r="E283" t="str">
        <f t="shared" si="4"/>
        <v/>
      </c>
      <c r="F283" t="str">
        <f>IF(B283="","",VLOOKUP(B283,Stock!$A$5:$B$21,2,FALSE))</f>
        <v/>
      </c>
    </row>
    <row r="284" spans="5:6" x14ac:dyDescent="0.25">
      <c r="E284" t="str">
        <f t="shared" si="4"/>
        <v/>
      </c>
      <c r="F284" t="str">
        <f>IF(B284="","",VLOOKUP(B284,Stock!$A$5:$B$21,2,FALSE))</f>
        <v/>
      </c>
    </row>
    <row r="285" spans="5:6" x14ac:dyDescent="0.25">
      <c r="E285" t="str">
        <f t="shared" si="4"/>
        <v/>
      </c>
      <c r="F285" t="str">
        <f>IF(B285="","",VLOOKUP(B285,Stock!$A$5:$B$21,2,FALSE))</f>
        <v/>
      </c>
    </row>
    <row r="286" spans="5:6" x14ac:dyDescent="0.25">
      <c r="E286" t="str">
        <f t="shared" si="4"/>
        <v/>
      </c>
      <c r="F286" t="str">
        <f>IF(B286="","",VLOOKUP(B286,Stock!$A$5:$B$21,2,FALSE))</f>
        <v/>
      </c>
    </row>
    <row r="287" spans="5:6" x14ac:dyDescent="0.25">
      <c r="E287" t="str">
        <f t="shared" si="4"/>
        <v/>
      </c>
      <c r="F287" t="str">
        <f>IF(B287="","",VLOOKUP(B287,Stock!$A$5:$B$21,2,FALSE))</f>
        <v/>
      </c>
    </row>
    <row r="288" spans="5:6" x14ac:dyDescent="0.25">
      <c r="E288" t="str">
        <f t="shared" si="4"/>
        <v/>
      </c>
      <c r="F288" t="str">
        <f>IF(B288="","",VLOOKUP(B288,Stock!$A$5:$B$21,2,FALSE))</f>
        <v/>
      </c>
    </row>
    <row r="289" spans="5:6" x14ac:dyDescent="0.25">
      <c r="E289" t="str">
        <f t="shared" si="4"/>
        <v/>
      </c>
      <c r="F289" t="str">
        <f>IF(B289="","",VLOOKUP(B289,Stock!$A$5:$B$21,2,FALSE))</f>
        <v/>
      </c>
    </row>
    <row r="290" spans="5:6" x14ac:dyDescent="0.25">
      <c r="E290" t="str">
        <f t="shared" si="4"/>
        <v/>
      </c>
      <c r="F290" t="str">
        <f>IF(B290="","",VLOOKUP(B290,Stock!$A$5:$B$21,2,FALSE))</f>
        <v/>
      </c>
    </row>
    <row r="291" spans="5:6" x14ac:dyDescent="0.25">
      <c r="E291" t="str">
        <f t="shared" si="4"/>
        <v/>
      </c>
      <c r="F291" t="str">
        <f>IF(B291="","",VLOOKUP(B291,Stock!$A$5:$B$21,2,FALSE))</f>
        <v/>
      </c>
    </row>
    <row r="292" spans="5:6" x14ac:dyDescent="0.25">
      <c r="E292" t="str">
        <f t="shared" si="4"/>
        <v/>
      </c>
      <c r="F292" t="str">
        <f>IF(B292="","",VLOOKUP(B292,Stock!$A$5:$B$21,2,FALSE))</f>
        <v/>
      </c>
    </row>
    <row r="293" spans="5:6" x14ac:dyDescent="0.25">
      <c r="E293" t="str">
        <f t="shared" si="4"/>
        <v/>
      </c>
      <c r="F293" t="str">
        <f>IF(B293="","",VLOOKUP(B293,Stock!$A$5:$B$21,2,FALSE))</f>
        <v/>
      </c>
    </row>
    <row r="294" spans="5:6" x14ac:dyDescent="0.25">
      <c r="E294" t="str">
        <f t="shared" si="4"/>
        <v/>
      </c>
      <c r="F294" t="str">
        <f>IF(B294="","",VLOOKUP(B294,Stock!$A$5:$B$21,2,FALSE))</f>
        <v/>
      </c>
    </row>
    <row r="295" spans="5:6" x14ac:dyDescent="0.25">
      <c r="E295" t="str">
        <f t="shared" si="4"/>
        <v/>
      </c>
      <c r="F295" t="str">
        <f>IF(B295="","",VLOOKUP(B295,Stock!$A$5:$B$21,2,FALSE))</f>
        <v/>
      </c>
    </row>
    <row r="296" spans="5:6" x14ac:dyDescent="0.25">
      <c r="E296" t="str">
        <f t="shared" si="4"/>
        <v/>
      </c>
      <c r="F296" t="str">
        <f>IF(B296="","",VLOOKUP(B296,Stock!$A$5:$B$21,2,FALSE))</f>
        <v/>
      </c>
    </row>
    <row r="297" spans="5:6" x14ac:dyDescent="0.25">
      <c r="E297" t="str">
        <f t="shared" si="4"/>
        <v/>
      </c>
      <c r="F297" t="str">
        <f>IF(B297="","",VLOOKUP(B297,Stock!$A$5:$B$21,2,FALSE))</f>
        <v/>
      </c>
    </row>
    <row r="298" spans="5:6" x14ac:dyDescent="0.25">
      <c r="E298" t="str">
        <f t="shared" si="4"/>
        <v/>
      </c>
      <c r="F298" t="str">
        <f>IF(B298="","",VLOOKUP(B298,Stock!$A$5:$B$21,2,FALSE))</f>
        <v/>
      </c>
    </row>
    <row r="299" spans="5:6" x14ac:dyDescent="0.25">
      <c r="E299" t="str">
        <f t="shared" si="4"/>
        <v/>
      </c>
      <c r="F299" t="str">
        <f>IF(B299="","",VLOOKUP(B299,Stock!$A$5:$B$21,2,FALSE))</f>
        <v/>
      </c>
    </row>
    <row r="300" spans="5:6" x14ac:dyDescent="0.25">
      <c r="E300" t="str">
        <f t="shared" si="4"/>
        <v/>
      </c>
      <c r="F300" t="str">
        <f>IF(B300="","",VLOOKUP(B300,Stock!$A$5:$B$21,2,FALSE))</f>
        <v/>
      </c>
    </row>
    <row r="301" spans="5:6" x14ac:dyDescent="0.25">
      <c r="E301" t="str">
        <f t="shared" si="4"/>
        <v/>
      </c>
      <c r="F301" t="str">
        <f>IF(B301="","",VLOOKUP(B301,Stock!$A$5:$B$21,2,FALSE))</f>
        <v/>
      </c>
    </row>
    <row r="302" spans="5:6" x14ac:dyDescent="0.25">
      <c r="E302" t="str">
        <f t="shared" si="4"/>
        <v/>
      </c>
      <c r="F302" t="str">
        <f>IF(B302="","",VLOOKUP(B302,Stock!$A$5:$B$21,2,FALSE))</f>
        <v/>
      </c>
    </row>
    <row r="303" spans="5:6" x14ac:dyDescent="0.25">
      <c r="E303" t="str">
        <f t="shared" si="4"/>
        <v/>
      </c>
      <c r="F303" t="str">
        <f>IF(B303="","",VLOOKUP(B303,Stock!$A$5:$B$21,2,FALSE))</f>
        <v/>
      </c>
    </row>
    <row r="304" spans="5:6" x14ac:dyDescent="0.25">
      <c r="E304" t="str">
        <f t="shared" si="4"/>
        <v/>
      </c>
      <c r="F304" t="str">
        <f>IF(B304="","",VLOOKUP(B304,Stock!$A$5:$B$21,2,FALSE))</f>
        <v/>
      </c>
    </row>
    <row r="305" spans="5:6" x14ac:dyDescent="0.25">
      <c r="E305" t="str">
        <f t="shared" si="4"/>
        <v/>
      </c>
      <c r="F305" t="str">
        <f>IF(B305="","",VLOOKUP(B305,Stock!$A$5:$B$21,2,FALSE))</f>
        <v/>
      </c>
    </row>
    <row r="306" spans="5:6" x14ac:dyDescent="0.25">
      <c r="E306" t="str">
        <f t="shared" si="4"/>
        <v/>
      </c>
      <c r="F306" t="str">
        <f>IF(B306="","",VLOOKUP(B306,Stock!$A$5:$B$21,2,FALSE))</f>
        <v/>
      </c>
    </row>
    <row r="307" spans="5:6" x14ac:dyDescent="0.25">
      <c r="E307" t="str">
        <f t="shared" si="4"/>
        <v/>
      </c>
      <c r="F307" t="str">
        <f>IF(B307="","",VLOOKUP(B307,Stock!$A$5:$B$21,2,FALSE))</f>
        <v/>
      </c>
    </row>
    <row r="308" spans="5:6" x14ac:dyDescent="0.25">
      <c r="E308" t="str">
        <f t="shared" si="4"/>
        <v/>
      </c>
      <c r="F308" t="str">
        <f>IF(B308="","",VLOOKUP(B308,Stock!$A$5:$B$21,2,FALSE))</f>
        <v/>
      </c>
    </row>
    <row r="309" spans="5:6" x14ac:dyDescent="0.25">
      <c r="E309" t="str">
        <f t="shared" si="4"/>
        <v/>
      </c>
      <c r="F309" t="str">
        <f>IF(B309="","",VLOOKUP(B309,Stock!$A$5:$B$21,2,FALSE))</f>
        <v/>
      </c>
    </row>
    <row r="310" spans="5:6" x14ac:dyDescent="0.25">
      <c r="E310" t="str">
        <f t="shared" si="4"/>
        <v/>
      </c>
      <c r="F310" t="str">
        <f>IF(B310="","",VLOOKUP(B310,Stock!$A$5:$B$21,2,FALSE))</f>
        <v/>
      </c>
    </row>
    <row r="311" spans="5:6" x14ac:dyDescent="0.25">
      <c r="E311" t="str">
        <f t="shared" si="4"/>
        <v/>
      </c>
      <c r="F311" t="str">
        <f>IF(B311="","",VLOOKUP(B311,Stock!$A$5:$B$21,2,FALSE))</f>
        <v/>
      </c>
    </row>
    <row r="312" spans="5:6" x14ac:dyDescent="0.25">
      <c r="E312" t="str">
        <f t="shared" si="4"/>
        <v/>
      </c>
      <c r="F312" t="str">
        <f>IF(B312="","",VLOOKUP(B312,Stock!$A$5:$B$21,2,FALSE))</f>
        <v/>
      </c>
    </row>
    <row r="313" spans="5:6" x14ac:dyDescent="0.25">
      <c r="E313" t="str">
        <f t="shared" si="4"/>
        <v/>
      </c>
      <c r="F313" t="str">
        <f>IF(B313="","",VLOOKUP(B313,Stock!$A$5:$B$21,2,FALSE))</f>
        <v/>
      </c>
    </row>
    <row r="314" spans="5:6" x14ac:dyDescent="0.25">
      <c r="E314" t="str">
        <f t="shared" si="4"/>
        <v/>
      </c>
      <c r="F314" t="str">
        <f>IF(B314="","",VLOOKUP(B314,Stock!$A$5:$B$21,2,FALSE))</f>
        <v/>
      </c>
    </row>
    <row r="315" spans="5:6" x14ac:dyDescent="0.25">
      <c r="E315" t="str">
        <f t="shared" si="4"/>
        <v/>
      </c>
      <c r="F315" t="str">
        <f>IF(B315="","",VLOOKUP(B315,Stock!$A$5:$B$21,2,FALSE))</f>
        <v/>
      </c>
    </row>
    <row r="316" spans="5:6" x14ac:dyDescent="0.25">
      <c r="E316" t="str">
        <f t="shared" si="4"/>
        <v/>
      </c>
      <c r="F316" t="str">
        <f>IF(B316="","",VLOOKUP(B316,Stock!$A$5:$B$21,2,FALSE))</f>
        <v/>
      </c>
    </row>
    <row r="317" spans="5:6" x14ac:dyDescent="0.25">
      <c r="E317" t="str">
        <f t="shared" si="4"/>
        <v/>
      </c>
      <c r="F317" t="str">
        <f>IF(B317="","",VLOOKUP(B317,Stock!$A$5:$B$21,2,FALSE))</f>
        <v/>
      </c>
    </row>
    <row r="318" spans="5:6" x14ac:dyDescent="0.25">
      <c r="E318" t="str">
        <f t="shared" si="4"/>
        <v/>
      </c>
      <c r="F318" t="str">
        <f>IF(B318="","",VLOOKUP(B318,Stock!$A$5:$B$21,2,FALSE))</f>
        <v/>
      </c>
    </row>
    <row r="319" spans="5:6" x14ac:dyDescent="0.25">
      <c r="E319" t="str">
        <f t="shared" si="4"/>
        <v/>
      </c>
      <c r="F319" t="str">
        <f>IF(B319="","",VLOOKUP(B319,Stock!$A$5:$B$21,2,FALSE))</f>
        <v/>
      </c>
    </row>
    <row r="320" spans="5:6" x14ac:dyDescent="0.25">
      <c r="E320" t="str">
        <f t="shared" si="4"/>
        <v/>
      </c>
      <c r="F320" t="str">
        <f>IF(B320="","",VLOOKUP(B320,Stock!$A$5:$B$21,2,FALSE))</f>
        <v/>
      </c>
    </row>
    <row r="321" spans="5:6" x14ac:dyDescent="0.25">
      <c r="E321" t="str">
        <f t="shared" si="4"/>
        <v/>
      </c>
      <c r="F321" t="str">
        <f>IF(B321="","",VLOOKUP(B321,Stock!$A$5:$B$21,2,FALSE))</f>
        <v/>
      </c>
    </row>
    <row r="322" spans="5:6" x14ac:dyDescent="0.25">
      <c r="E322" t="str">
        <f t="shared" si="4"/>
        <v/>
      </c>
      <c r="F322" t="str">
        <f>IF(B322="","",VLOOKUP(B322,Stock!$A$5:$B$21,2,FALSE))</f>
        <v/>
      </c>
    </row>
    <row r="323" spans="5:6" x14ac:dyDescent="0.25">
      <c r="E323" t="str">
        <f t="shared" si="4"/>
        <v/>
      </c>
      <c r="F323" t="str">
        <f>IF(B323="","",VLOOKUP(B323,Stock!$A$5:$B$21,2,FALSE))</f>
        <v/>
      </c>
    </row>
    <row r="324" spans="5:6" x14ac:dyDescent="0.25">
      <c r="E324" t="str">
        <f t="shared" si="4"/>
        <v/>
      </c>
      <c r="F324" t="str">
        <f>IF(B324="","",VLOOKUP(B324,Stock!$A$5:$B$21,2,FALSE))</f>
        <v/>
      </c>
    </row>
    <row r="325" spans="5:6" x14ac:dyDescent="0.25">
      <c r="E325" t="str">
        <f t="shared" ref="E325:E388" si="5">IF(OR(C325="",D325=""),"",C325*D325)</f>
        <v/>
      </c>
      <c r="F325" t="str">
        <f>IF(B325="","",VLOOKUP(B325,Stock!$A$5:$B$21,2,FALSE))</f>
        <v/>
      </c>
    </row>
    <row r="326" spans="5:6" x14ac:dyDescent="0.25">
      <c r="E326" t="str">
        <f t="shared" si="5"/>
        <v/>
      </c>
      <c r="F326" t="str">
        <f>IF(B326="","",VLOOKUP(B326,Stock!$A$5:$B$21,2,FALSE))</f>
        <v/>
      </c>
    </row>
    <row r="327" spans="5:6" x14ac:dyDescent="0.25">
      <c r="E327" t="str">
        <f t="shared" si="5"/>
        <v/>
      </c>
      <c r="F327" t="str">
        <f>IF(B327="","",VLOOKUP(B327,Stock!$A$5:$B$21,2,FALSE))</f>
        <v/>
      </c>
    </row>
    <row r="328" spans="5:6" x14ac:dyDescent="0.25">
      <c r="E328" t="str">
        <f t="shared" si="5"/>
        <v/>
      </c>
      <c r="F328" t="str">
        <f>IF(B328="","",VLOOKUP(B328,Stock!$A$5:$B$21,2,FALSE))</f>
        <v/>
      </c>
    </row>
    <row r="329" spans="5:6" x14ac:dyDescent="0.25">
      <c r="E329" t="str">
        <f t="shared" si="5"/>
        <v/>
      </c>
      <c r="F329" t="str">
        <f>IF(B329="","",VLOOKUP(B329,Stock!$A$5:$B$21,2,FALSE))</f>
        <v/>
      </c>
    </row>
    <row r="330" spans="5:6" x14ac:dyDescent="0.25">
      <c r="E330" t="str">
        <f t="shared" si="5"/>
        <v/>
      </c>
      <c r="F330" t="str">
        <f>IF(B330="","",VLOOKUP(B330,Stock!$A$5:$B$21,2,FALSE))</f>
        <v/>
      </c>
    </row>
    <row r="331" spans="5:6" x14ac:dyDescent="0.25">
      <c r="E331" t="str">
        <f t="shared" si="5"/>
        <v/>
      </c>
      <c r="F331" t="str">
        <f>IF(B331="","",VLOOKUP(B331,Stock!$A$5:$B$21,2,FALSE))</f>
        <v/>
      </c>
    </row>
    <row r="332" spans="5:6" x14ac:dyDescent="0.25">
      <c r="E332" t="str">
        <f t="shared" si="5"/>
        <v/>
      </c>
      <c r="F332" t="str">
        <f>IF(B332="","",VLOOKUP(B332,Stock!$A$5:$B$21,2,FALSE))</f>
        <v/>
      </c>
    </row>
    <row r="333" spans="5:6" x14ac:dyDescent="0.25">
      <c r="E333" t="str">
        <f t="shared" si="5"/>
        <v/>
      </c>
      <c r="F333" t="str">
        <f>IF(B333="","",VLOOKUP(B333,Stock!$A$5:$B$21,2,FALSE))</f>
        <v/>
      </c>
    </row>
    <row r="334" spans="5:6" x14ac:dyDescent="0.25">
      <c r="E334" t="str">
        <f t="shared" si="5"/>
        <v/>
      </c>
      <c r="F334" t="str">
        <f>IF(B334="","",VLOOKUP(B334,Stock!$A$5:$B$21,2,FALSE))</f>
        <v/>
      </c>
    </row>
    <row r="335" spans="5:6" x14ac:dyDescent="0.25">
      <c r="E335" t="str">
        <f t="shared" si="5"/>
        <v/>
      </c>
      <c r="F335" t="str">
        <f>IF(B335="","",VLOOKUP(B335,Stock!$A$5:$B$21,2,FALSE))</f>
        <v/>
      </c>
    </row>
    <row r="336" spans="5:6" x14ac:dyDescent="0.25">
      <c r="E336" t="str">
        <f t="shared" si="5"/>
        <v/>
      </c>
      <c r="F336" t="str">
        <f>IF(B336="","",VLOOKUP(B336,Stock!$A$5:$B$21,2,FALSE))</f>
        <v/>
      </c>
    </row>
    <row r="337" spans="5:6" x14ac:dyDescent="0.25">
      <c r="E337" t="str">
        <f t="shared" si="5"/>
        <v/>
      </c>
      <c r="F337" t="str">
        <f>IF(B337="","",VLOOKUP(B337,Stock!$A$5:$B$21,2,FALSE))</f>
        <v/>
      </c>
    </row>
    <row r="338" spans="5:6" x14ac:dyDescent="0.25">
      <c r="E338" t="str">
        <f t="shared" si="5"/>
        <v/>
      </c>
      <c r="F338" t="str">
        <f>IF(B338="","",VLOOKUP(B338,Stock!$A$5:$B$21,2,FALSE))</f>
        <v/>
      </c>
    </row>
    <row r="339" spans="5:6" x14ac:dyDescent="0.25">
      <c r="E339" t="str">
        <f t="shared" si="5"/>
        <v/>
      </c>
      <c r="F339" t="str">
        <f>IF(B339="","",VLOOKUP(B339,Stock!$A$5:$B$21,2,FALSE))</f>
        <v/>
      </c>
    </row>
    <row r="340" spans="5:6" x14ac:dyDescent="0.25">
      <c r="E340" t="str">
        <f t="shared" si="5"/>
        <v/>
      </c>
      <c r="F340" t="str">
        <f>IF(B340="","",VLOOKUP(B340,Stock!$A$5:$B$21,2,FALSE))</f>
        <v/>
      </c>
    </row>
    <row r="341" spans="5:6" x14ac:dyDescent="0.25">
      <c r="E341" t="str">
        <f t="shared" si="5"/>
        <v/>
      </c>
      <c r="F341" t="str">
        <f>IF(B341="","",VLOOKUP(B341,Stock!$A$5:$B$21,2,FALSE))</f>
        <v/>
      </c>
    </row>
    <row r="342" spans="5:6" x14ac:dyDescent="0.25">
      <c r="E342" t="str">
        <f t="shared" si="5"/>
        <v/>
      </c>
      <c r="F342" t="str">
        <f>IF(B342="","",VLOOKUP(B342,Stock!$A$5:$B$21,2,FALSE))</f>
        <v/>
      </c>
    </row>
    <row r="343" spans="5:6" x14ac:dyDescent="0.25">
      <c r="E343" t="str">
        <f t="shared" si="5"/>
        <v/>
      </c>
      <c r="F343" t="str">
        <f>IF(B343="","",VLOOKUP(B343,Stock!$A$5:$B$21,2,FALSE))</f>
        <v/>
      </c>
    </row>
    <row r="344" spans="5:6" x14ac:dyDescent="0.25">
      <c r="E344" t="str">
        <f t="shared" si="5"/>
        <v/>
      </c>
      <c r="F344" t="str">
        <f>IF(B344="","",VLOOKUP(B344,Stock!$A$5:$B$21,2,FALSE))</f>
        <v/>
      </c>
    </row>
    <row r="345" spans="5:6" x14ac:dyDescent="0.25">
      <c r="E345" t="str">
        <f t="shared" si="5"/>
        <v/>
      </c>
      <c r="F345" t="str">
        <f>IF(B345="","",VLOOKUP(B345,Stock!$A$5:$B$21,2,FALSE))</f>
        <v/>
      </c>
    </row>
    <row r="346" spans="5:6" x14ac:dyDescent="0.25">
      <c r="E346" t="str">
        <f t="shared" si="5"/>
        <v/>
      </c>
      <c r="F346" t="str">
        <f>IF(B346="","",VLOOKUP(B346,Stock!$A$5:$B$21,2,FALSE))</f>
        <v/>
      </c>
    </row>
    <row r="347" spans="5:6" x14ac:dyDescent="0.25">
      <c r="E347" t="str">
        <f t="shared" si="5"/>
        <v/>
      </c>
      <c r="F347" t="str">
        <f>IF(B347="","",VLOOKUP(B347,Stock!$A$5:$B$21,2,FALSE))</f>
        <v/>
      </c>
    </row>
    <row r="348" spans="5:6" x14ac:dyDescent="0.25">
      <c r="E348" t="str">
        <f t="shared" si="5"/>
        <v/>
      </c>
      <c r="F348" t="str">
        <f>IF(B348="","",VLOOKUP(B348,Stock!$A$5:$B$21,2,FALSE))</f>
        <v/>
      </c>
    </row>
    <row r="349" spans="5:6" x14ac:dyDescent="0.25">
      <c r="E349" t="str">
        <f t="shared" si="5"/>
        <v/>
      </c>
      <c r="F349" t="str">
        <f>IF(B349="","",VLOOKUP(B349,Stock!$A$5:$B$21,2,FALSE))</f>
        <v/>
      </c>
    </row>
    <row r="350" spans="5:6" x14ac:dyDescent="0.25">
      <c r="E350" t="str">
        <f t="shared" si="5"/>
        <v/>
      </c>
      <c r="F350" t="str">
        <f>IF(B350="","",VLOOKUP(B350,Stock!$A$5:$B$21,2,FALSE))</f>
        <v/>
      </c>
    </row>
    <row r="351" spans="5:6" x14ac:dyDescent="0.25">
      <c r="E351" t="str">
        <f t="shared" si="5"/>
        <v/>
      </c>
      <c r="F351" t="str">
        <f>IF(B351="","",VLOOKUP(B351,Stock!$A$5:$B$21,2,FALSE))</f>
        <v/>
      </c>
    </row>
    <row r="352" spans="5:6" x14ac:dyDescent="0.25">
      <c r="E352" t="str">
        <f t="shared" si="5"/>
        <v/>
      </c>
      <c r="F352" t="str">
        <f>IF(B352="","",VLOOKUP(B352,Stock!$A$5:$B$21,2,FALSE))</f>
        <v/>
      </c>
    </row>
    <row r="353" spans="5:6" x14ac:dyDescent="0.25">
      <c r="E353" t="str">
        <f t="shared" si="5"/>
        <v/>
      </c>
      <c r="F353" t="str">
        <f>IF(B353="","",VLOOKUP(B353,Stock!$A$5:$B$21,2,FALSE))</f>
        <v/>
      </c>
    </row>
    <row r="354" spans="5:6" x14ac:dyDescent="0.25">
      <c r="E354" t="str">
        <f t="shared" si="5"/>
        <v/>
      </c>
      <c r="F354" t="str">
        <f>IF(B354="","",VLOOKUP(B354,Stock!$A$5:$B$21,2,FALSE))</f>
        <v/>
      </c>
    </row>
    <row r="355" spans="5:6" x14ac:dyDescent="0.25">
      <c r="E355" t="str">
        <f t="shared" si="5"/>
        <v/>
      </c>
      <c r="F355" t="str">
        <f>IF(B355="","",VLOOKUP(B355,Stock!$A$5:$B$21,2,FALSE))</f>
        <v/>
      </c>
    </row>
    <row r="356" spans="5:6" x14ac:dyDescent="0.25">
      <c r="E356" t="str">
        <f t="shared" si="5"/>
        <v/>
      </c>
      <c r="F356" t="str">
        <f>IF(B356="","",VLOOKUP(B356,Stock!$A$5:$B$21,2,FALSE))</f>
        <v/>
      </c>
    </row>
    <row r="357" spans="5:6" x14ac:dyDescent="0.25">
      <c r="E357" t="str">
        <f t="shared" si="5"/>
        <v/>
      </c>
      <c r="F357" t="str">
        <f>IF(B357="","",VLOOKUP(B357,Stock!$A$5:$B$21,2,FALSE))</f>
        <v/>
      </c>
    </row>
    <row r="358" spans="5:6" x14ac:dyDescent="0.25">
      <c r="E358" t="str">
        <f t="shared" si="5"/>
        <v/>
      </c>
      <c r="F358" t="str">
        <f>IF(B358="","",VLOOKUP(B358,Stock!$A$5:$B$21,2,FALSE))</f>
        <v/>
      </c>
    </row>
    <row r="359" spans="5:6" x14ac:dyDescent="0.25">
      <c r="E359" t="str">
        <f t="shared" si="5"/>
        <v/>
      </c>
      <c r="F359" t="str">
        <f>IF(B359="","",VLOOKUP(B359,Stock!$A$5:$B$21,2,FALSE))</f>
        <v/>
      </c>
    </row>
    <row r="360" spans="5:6" x14ac:dyDescent="0.25">
      <c r="E360" t="str">
        <f t="shared" si="5"/>
        <v/>
      </c>
      <c r="F360" t="str">
        <f>IF(B360="","",VLOOKUP(B360,Stock!$A$5:$B$21,2,FALSE))</f>
        <v/>
      </c>
    </row>
    <row r="361" spans="5:6" x14ac:dyDescent="0.25">
      <c r="E361" t="str">
        <f t="shared" si="5"/>
        <v/>
      </c>
      <c r="F361" t="str">
        <f>IF(B361="","",VLOOKUP(B361,Stock!$A$5:$B$21,2,FALSE))</f>
        <v/>
      </c>
    </row>
    <row r="362" spans="5:6" x14ac:dyDescent="0.25">
      <c r="E362" t="str">
        <f t="shared" si="5"/>
        <v/>
      </c>
      <c r="F362" t="str">
        <f>IF(B362="","",VLOOKUP(B362,Stock!$A$5:$B$21,2,FALSE))</f>
        <v/>
      </c>
    </row>
    <row r="363" spans="5:6" x14ac:dyDescent="0.25">
      <c r="E363" t="str">
        <f t="shared" si="5"/>
        <v/>
      </c>
      <c r="F363" t="str">
        <f>IF(B363="","",VLOOKUP(B363,Stock!$A$5:$B$21,2,FALSE))</f>
        <v/>
      </c>
    </row>
    <row r="364" spans="5:6" x14ac:dyDescent="0.25">
      <c r="E364" t="str">
        <f t="shared" si="5"/>
        <v/>
      </c>
      <c r="F364" t="str">
        <f>IF(B364="","",VLOOKUP(B364,Stock!$A$5:$B$21,2,FALSE))</f>
        <v/>
      </c>
    </row>
    <row r="365" spans="5:6" x14ac:dyDescent="0.25">
      <c r="E365" t="str">
        <f t="shared" si="5"/>
        <v/>
      </c>
      <c r="F365" t="str">
        <f>IF(B365="","",VLOOKUP(B365,Stock!$A$5:$B$21,2,FALSE))</f>
        <v/>
      </c>
    </row>
    <row r="366" spans="5:6" x14ac:dyDescent="0.25">
      <c r="E366" t="str">
        <f t="shared" si="5"/>
        <v/>
      </c>
      <c r="F366" t="str">
        <f>IF(B366="","",VLOOKUP(B366,Stock!$A$5:$B$21,2,FALSE))</f>
        <v/>
      </c>
    </row>
    <row r="367" spans="5:6" x14ac:dyDescent="0.25">
      <c r="E367" t="str">
        <f t="shared" si="5"/>
        <v/>
      </c>
      <c r="F367" t="str">
        <f>IF(B367="","",VLOOKUP(B367,Stock!$A$5:$B$21,2,FALSE))</f>
        <v/>
      </c>
    </row>
    <row r="368" spans="5:6" x14ac:dyDescent="0.25">
      <c r="E368" t="str">
        <f t="shared" si="5"/>
        <v/>
      </c>
      <c r="F368" t="str">
        <f>IF(B368="","",VLOOKUP(B368,Stock!$A$5:$B$21,2,FALSE))</f>
        <v/>
      </c>
    </row>
    <row r="369" spans="5:6" x14ac:dyDescent="0.25">
      <c r="E369" t="str">
        <f t="shared" si="5"/>
        <v/>
      </c>
      <c r="F369" t="str">
        <f>IF(B369="","",VLOOKUP(B369,Stock!$A$5:$B$21,2,FALSE))</f>
        <v/>
      </c>
    </row>
    <row r="370" spans="5:6" x14ac:dyDescent="0.25">
      <c r="E370" t="str">
        <f t="shared" si="5"/>
        <v/>
      </c>
      <c r="F370" t="str">
        <f>IF(B370="","",VLOOKUP(B370,Stock!$A$5:$B$21,2,FALSE))</f>
        <v/>
      </c>
    </row>
    <row r="371" spans="5:6" x14ac:dyDescent="0.25">
      <c r="E371" t="str">
        <f t="shared" si="5"/>
        <v/>
      </c>
      <c r="F371" t="str">
        <f>IF(B371="","",VLOOKUP(B371,Stock!$A$5:$B$21,2,FALSE))</f>
        <v/>
      </c>
    </row>
    <row r="372" spans="5:6" x14ac:dyDescent="0.25">
      <c r="E372" t="str">
        <f t="shared" si="5"/>
        <v/>
      </c>
      <c r="F372" t="str">
        <f>IF(B372="","",VLOOKUP(B372,Stock!$A$5:$B$21,2,FALSE))</f>
        <v/>
      </c>
    </row>
    <row r="373" spans="5:6" x14ac:dyDescent="0.25">
      <c r="E373" t="str">
        <f t="shared" si="5"/>
        <v/>
      </c>
      <c r="F373" t="str">
        <f>IF(B373="","",VLOOKUP(B373,Stock!$A$5:$B$21,2,FALSE))</f>
        <v/>
      </c>
    </row>
    <row r="374" spans="5:6" x14ac:dyDescent="0.25">
      <c r="E374" t="str">
        <f t="shared" si="5"/>
        <v/>
      </c>
      <c r="F374" t="str">
        <f>IF(B374="","",VLOOKUP(B374,Stock!$A$5:$B$21,2,FALSE))</f>
        <v/>
      </c>
    </row>
    <row r="375" spans="5:6" x14ac:dyDescent="0.25">
      <c r="E375" t="str">
        <f t="shared" si="5"/>
        <v/>
      </c>
      <c r="F375" t="str">
        <f>IF(B375="","",VLOOKUP(B375,Stock!$A$5:$B$21,2,FALSE))</f>
        <v/>
      </c>
    </row>
    <row r="376" spans="5:6" x14ac:dyDescent="0.25">
      <c r="E376" t="str">
        <f t="shared" si="5"/>
        <v/>
      </c>
      <c r="F376" t="str">
        <f>IF(B376="","",VLOOKUP(B376,Stock!$A$5:$B$21,2,FALSE))</f>
        <v/>
      </c>
    </row>
    <row r="377" spans="5:6" x14ac:dyDescent="0.25">
      <c r="E377" t="str">
        <f t="shared" si="5"/>
        <v/>
      </c>
      <c r="F377" t="str">
        <f>IF(B377="","",VLOOKUP(B377,Stock!$A$5:$B$21,2,FALSE))</f>
        <v/>
      </c>
    </row>
    <row r="378" spans="5:6" x14ac:dyDescent="0.25">
      <c r="E378" t="str">
        <f t="shared" si="5"/>
        <v/>
      </c>
      <c r="F378" t="str">
        <f>IF(B378="","",VLOOKUP(B378,Stock!$A$5:$B$21,2,FALSE))</f>
        <v/>
      </c>
    </row>
    <row r="379" spans="5:6" x14ac:dyDescent="0.25">
      <c r="E379" t="str">
        <f t="shared" si="5"/>
        <v/>
      </c>
      <c r="F379" t="str">
        <f>IF(B379="","",VLOOKUP(B379,Stock!$A$5:$B$21,2,FALSE))</f>
        <v/>
      </c>
    </row>
    <row r="380" spans="5:6" x14ac:dyDescent="0.25">
      <c r="E380" t="str">
        <f t="shared" si="5"/>
        <v/>
      </c>
      <c r="F380" t="str">
        <f>IF(B380="","",VLOOKUP(B380,Stock!$A$5:$B$21,2,FALSE))</f>
        <v/>
      </c>
    </row>
    <row r="381" spans="5:6" x14ac:dyDescent="0.25">
      <c r="E381" t="str">
        <f t="shared" si="5"/>
        <v/>
      </c>
      <c r="F381" t="str">
        <f>IF(B381="","",VLOOKUP(B381,Stock!$A$5:$B$21,2,FALSE))</f>
        <v/>
      </c>
    </row>
    <row r="382" spans="5:6" x14ac:dyDescent="0.25">
      <c r="E382" t="str">
        <f t="shared" si="5"/>
        <v/>
      </c>
      <c r="F382" t="str">
        <f>IF(B382="","",VLOOKUP(B382,Stock!$A$5:$B$21,2,FALSE))</f>
        <v/>
      </c>
    </row>
    <row r="383" spans="5:6" x14ac:dyDescent="0.25">
      <c r="E383" t="str">
        <f t="shared" si="5"/>
        <v/>
      </c>
      <c r="F383" t="str">
        <f>IF(B383="","",VLOOKUP(B383,Stock!$A$5:$B$21,2,FALSE))</f>
        <v/>
      </c>
    </row>
    <row r="384" spans="5:6" x14ac:dyDescent="0.25">
      <c r="E384" t="str">
        <f t="shared" si="5"/>
        <v/>
      </c>
      <c r="F384" t="str">
        <f>IF(B384="","",VLOOKUP(B384,Stock!$A$5:$B$21,2,FALSE))</f>
        <v/>
      </c>
    </row>
    <row r="385" spans="5:6" x14ac:dyDescent="0.25">
      <c r="E385" t="str">
        <f t="shared" si="5"/>
        <v/>
      </c>
      <c r="F385" t="str">
        <f>IF(B385="","",VLOOKUP(B385,Stock!$A$5:$B$21,2,FALSE))</f>
        <v/>
      </c>
    </row>
    <row r="386" spans="5:6" x14ac:dyDescent="0.25">
      <c r="E386" t="str">
        <f t="shared" si="5"/>
        <v/>
      </c>
      <c r="F386" t="str">
        <f>IF(B386="","",VLOOKUP(B386,Stock!$A$5:$B$21,2,FALSE))</f>
        <v/>
      </c>
    </row>
    <row r="387" spans="5:6" x14ac:dyDescent="0.25">
      <c r="E387" t="str">
        <f t="shared" si="5"/>
        <v/>
      </c>
      <c r="F387" t="str">
        <f>IF(B387="","",VLOOKUP(B387,Stock!$A$5:$B$21,2,FALSE))</f>
        <v/>
      </c>
    </row>
    <row r="388" spans="5:6" x14ac:dyDescent="0.25">
      <c r="E388" t="str">
        <f t="shared" si="5"/>
        <v/>
      </c>
      <c r="F388" t="str">
        <f>IF(B388="","",VLOOKUP(B388,Stock!$A$5:$B$21,2,FALSE))</f>
        <v/>
      </c>
    </row>
    <row r="389" spans="5:6" x14ac:dyDescent="0.25">
      <c r="E389" t="str">
        <f t="shared" ref="E389:E452" si="6">IF(OR(C389="",D389=""),"",C389*D389)</f>
        <v/>
      </c>
      <c r="F389" t="str">
        <f>IF(B389="","",VLOOKUP(B389,Stock!$A$5:$B$21,2,FALSE))</f>
        <v/>
      </c>
    </row>
    <row r="390" spans="5:6" x14ac:dyDescent="0.25">
      <c r="E390" t="str">
        <f t="shared" si="6"/>
        <v/>
      </c>
      <c r="F390" t="str">
        <f>IF(B390="","",VLOOKUP(B390,Stock!$A$5:$B$21,2,FALSE))</f>
        <v/>
      </c>
    </row>
    <row r="391" spans="5:6" x14ac:dyDescent="0.25">
      <c r="E391" t="str">
        <f t="shared" si="6"/>
        <v/>
      </c>
      <c r="F391" t="str">
        <f>IF(B391="","",VLOOKUP(B391,Stock!$A$5:$B$21,2,FALSE))</f>
        <v/>
      </c>
    </row>
    <row r="392" spans="5:6" x14ac:dyDescent="0.25">
      <c r="E392" t="str">
        <f t="shared" si="6"/>
        <v/>
      </c>
      <c r="F392" t="str">
        <f>IF(B392="","",VLOOKUP(B392,Stock!$A$5:$B$21,2,FALSE))</f>
        <v/>
      </c>
    </row>
    <row r="393" spans="5:6" x14ac:dyDescent="0.25">
      <c r="E393" t="str">
        <f t="shared" si="6"/>
        <v/>
      </c>
      <c r="F393" t="str">
        <f>IF(B393="","",VLOOKUP(B393,Stock!$A$5:$B$21,2,FALSE))</f>
        <v/>
      </c>
    </row>
    <row r="394" spans="5:6" x14ac:dyDescent="0.25">
      <c r="E394" t="str">
        <f t="shared" si="6"/>
        <v/>
      </c>
      <c r="F394" t="str">
        <f>IF(B394="","",VLOOKUP(B394,Stock!$A$5:$B$21,2,FALSE))</f>
        <v/>
      </c>
    </row>
    <row r="395" spans="5:6" x14ac:dyDescent="0.25">
      <c r="E395" t="str">
        <f t="shared" si="6"/>
        <v/>
      </c>
      <c r="F395" t="str">
        <f>IF(B395="","",VLOOKUP(B395,Stock!$A$5:$B$21,2,FALSE))</f>
        <v/>
      </c>
    </row>
    <row r="396" spans="5:6" x14ac:dyDescent="0.25">
      <c r="E396" t="str">
        <f t="shared" si="6"/>
        <v/>
      </c>
      <c r="F396" t="str">
        <f>IF(B396="","",VLOOKUP(B396,Stock!$A$5:$B$21,2,FALSE))</f>
        <v/>
      </c>
    </row>
    <row r="397" spans="5:6" x14ac:dyDescent="0.25">
      <c r="E397" t="str">
        <f t="shared" si="6"/>
        <v/>
      </c>
      <c r="F397" t="str">
        <f>IF(B397="","",VLOOKUP(B397,Stock!$A$5:$B$21,2,FALSE))</f>
        <v/>
      </c>
    </row>
    <row r="398" spans="5:6" x14ac:dyDescent="0.25">
      <c r="E398" t="str">
        <f t="shared" si="6"/>
        <v/>
      </c>
      <c r="F398" t="str">
        <f>IF(B398="","",VLOOKUP(B398,Stock!$A$5:$B$21,2,FALSE))</f>
        <v/>
      </c>
    </row>
    <row r="399" spans="5:6" x14ac:dyDescent="0.25">
      <c r="E399" t="str">
        <f t="shared" si="6"/>
        <v/>
      </c>
      <c r="F399" t="str">
        <f>IF(B399="","",VLOOKUP(B399,Stock!$A$5:$B$21,2,FALSE))</f>
        <v/>
      </c>
    </row>
    <row r="400" spans="5:6" x14ac:dyDescent="0.25">
      <c r="E400" t="str">
        <f t="shared" si="6"/>
        <v/>
      </c>
      <c r="F400" t="str">
        <f>IF(B400="","",VLOOKUP(B400,Stock!$A$5:$B$21,2,FALSE))</f>
        <v/>
      </c>
    </row>
    <row r="401" spans="5:6" x14ac:dyDescent="0.25">
      <c r="E401" t="str">
        <f t="shared" si="6"/>
        <v/>
      </c>
      <c r="F401" t="str">
        <f>IF(B401="","",VLOOKUP(B401,Stock!$A$5:$B$21,2,FALSE))</f>
        <v/>
      </c>
    </row>
    <row r="402" spans="5:6" x14ac:dyDescent="0.25">
      <c r="E402" t="str">
        <f t="shared" si="6"/>
        <v/>
      </c>
      <c r="F402" t="str">
        <f>IF(B402="","",VLOOKUP(B402,Stock!$A$5:$B$21,2,FALSE))</f>
        <v/>
      </c>
    </row>
    <row r="403" spans="5:6" x14ac:dyDescent="0.25">
      <c r="E403" t="str">
        <f t="shared" si="6"/>
        <v/>
      </c>
      <c r="F403" t="str">
        <f>IF(B403="","",VLOOKUP(B403,Stock!$A$5:$B$21,2,FALSE))</f>
        <v/>
      </c>
    </row>
    <row r="404" spans="5:6" x14ac:dyDescent="0.25">
      <c r="E404" t="str">
        <f t="shared" si="6"/>
        <v/>
      </c>
      <c r="F404" t="str">
        <f>IF(B404="","",VLOOKUP(B404,Stock!$A$5:$B$21,2,FALSE))</f>
        <v/>
      </c>
    </row>
    <row r="405" spans="5:6" x14ac:dyDescent="0.25">
      <c r="E405" t="str">
        <f t="shared" si="6"/>
        <v/>
      </c>
      <c r="F405" t="str">
        <f>IF(B405="","",VLOOKUP(B405,Stock!$A$5:$B$21,2,FALSE))</f>
        <v/>
      </c>
    </row>
    <row r="406" spans="5:6" x14ac:dyDescent="0.25">
      <c r="E406" t="str">
        <f t="shared" si="6"/>
        <v/>
      </c>
      <c r="F406" t="str">
        <f>IF(B406="","",VLOOKUP(B406,Stock!$A$5:$B$21,2,FALSE))</f>
        <v/>
      </c>
    </row>
    <row r="407" spans="5:6" x14ac:dyDescent="0.25">
      <c r="E407" t="str">
        <f t="shared" si="6"/>
        <v/>
      </c>
      <c r="F407" t="str">
        <f>IF(B407="","",VLOOKUP(B407,Stock!$A$5:$B$21,2,FALSE))</f>
        <v/>
      </c>
    </row>
    <row r="408" spans="5:6" x14ac:dyDescent="0.25">
      <c r="E408" t="str">
        <f t="shared" si="6"/>
        <v/>
      </c>
      <c r="F408" t="str">
        <f>IF(B408="","",VLOOKUP(B408,Stock!$A$5:$B$21,2,FALSE))</f>
        <v/>
      </c>
    </row>
    <row r="409" spans="5:6" x14ac:dyDescent="0.25">
      <c r="E409" t="str">
        <f t="shared" si="6"/>
        <v/>
      </c>
      <c r="F409" t="str">
        <f>IF(B409="","",VLOOKUP(B409,Stock!$A$5:$B$21,2,FALSE))</f>
        <v/>
      </c>
    </row>
    <row r="410" spans="5:6" x14ac:dyDescent="0.25">
      <c r="E410" t="str">
        <f t="shared" si="6"/>
        <v/>
      </c>
      <c r="F410" t="str">
        <f>IF(B410="","",VLOOKUP(B410,Stock!$A$5:$B$21,2,FALSE))</f>
        <v/>
      </c>
    </row>
    <row r="411" spans="5:6" x14ac:dyDescent="0.25">
      <c r="E411" t="str">
        <f t="shared" si="6"/>
        <v/>
      </c>
      <c r="F411" t="str">
        <f>IF(B411="","",VLOOKUP(B411,Stock!$A$5:$B$21,2,FALSE))</f>
        <v/>
      </c>
    </row>
    <row r="412" spans="5:6" x14ac:dyDescent="0.25">
      <c r="E412" t="str">
        <f t="shared" si="6"/>
        <v/>
      </c>
      <c r="F412" t="str">
        <f>IF(B412="","",VLOOKUP(B412,Stock!$A$5:$B$21,2,FALSE))</f>
        <v/>
      </c>
    </row>
    <row r="413" spans="5:6" x14ac:dyDescent="0.25">
      <c r="E413" t="str">
        <f t="shared" si="6"/>
        <v/>
      </c>
      <c r="F413" t="str">
        <f>IF(B413="","",VLOOKUP(B413,Stock!$A$5:$B$21,2,FALSE))</f>
        <v/>
      </c>
    </row>
    <row r="414" spans="5:6" x14ac:dyDescent="0.25">
      <c r="E414" t="str">
        <f t="shared" si="6"/>
        <v/>
      </c>
      <c r="F414" t="str">
        <f>IF(B414="","",VLOOKUP(B414,Stock!$A$5:$B$21,2,FALSE))</f>
        <v/>
      </c>
    </row>
    <row r="415" spans="5:6" x14ac:dyDescent="0.25">
      <c r="E415" t="str">
        <f t="shared" si="6"/>
        <v/>
      </c>
      <c r="F415" t="str">
        <f>IF(B415="","",VLOOKUP(B415,Stock!$A$5:$B$21,2,FALSE))</f>
        <v/>
      </c>
    </row>
    <row r="416" spans="5:6" x14ac:dyDescent="0.25">
      <c r="E416" t="str">
        <f t="shared" si="6"/>
        <v/>
      </c>
      <c r="F416" t="str">
        <f>IF(B416="","",VLOOKUP(B416,Stock!$A$5:$B$21,2,FALSE))</f>
        <v/>
      </c>
    </row>
    <row r="417" spans="5:6" x14ac:dyDescent="0.25">
      <c r="E417" t="str">
        <f t="shared" si="6"/>
        <v/>
      </c>
      <c r="F417" t="str">
        <f>IF(B417="","",VLOOKUP(B417,Stock!$A$5:$B$21,2,FALSE))</f>
        <v/>
      </c>
    </row>
    <row r="418" spans="5:6" x14ac:dyDescent="0.25">
      <c r="E418" t="str">
        <f t="shared" si="6"/>
        <v/>
      </c>
      <c r="F418" t="str">
        <f>IF(B418="","",VLOOKUP(B418,Stock!$A$5:$B$21,2,FALSE))</f>
        <v/>
      </c>
    </row>
    <row r="419" spans="5:6" x14ac:dyDescent="0.25">
      <c r="E419" t="str">
        <f t="shared" si="6"/>
        <v/>
      </c>
      <c r="F419" t="str">
        <f>IF(B419="","",VLOOKUP(B419,Stock!$A$5:$B$21,2,FALSE))</f>
        <v/>
      </c>
    </row>
    <row r="420" spans="5:6" x14ac:dyDescent="0.25">
      <c r="E420" t="str">
        <f t="shared" si="6"/>
        <v/>
      </c>
      <c r="F420" t="str">
        <f>IF(B420="","",VLOOKUP(B420,Stock!$A$5:$B$21,2,FALSE))</f>
        <v/>
      </c>
    </row>
    <row r="421" spans="5:6" x14ac:dyDescent="0.25">
      <c r="E421" t="str">
        <f t="shared" si="6"/>
        <v/>
      </c>
      <c r="F421" t="str">
        <f>IF(B421="","",VLOOKUP(B421,Stock!$A$5:$B$21,2,FALSE))</f>
        <v/>
      </c>
    </row>
    <row r="422" spans="5:6" x14ac:dyDescent="0.25">
      <c r="E422" t="str">
        <f t="shared" si="6"/>
        <v/>
      </c>
      <c r="F422" t="str">
        <f>IF(B422="","",VLOOKUP(B422,Stock!$A$5:$B$21,2,FALSE))</f>
        <v/>
      </c>
    </row>
    <row r="423" spans="5:6" x14ac:dyDescent="0.25">
      <c r="E423" t="str">
        <f t="shared" si="6"/>
        <v/>
      </c>
      <c r="F423" t="str">
        <f>IF(B423="","",VLOOKUP(B423,Stock!$A$5:$B$21,2,FALSE))</f>
        <v/>
      </c>
    </row>
    <row r="424" spans="5:6" x14ac:dyDescent="0.25">
      <c r="E424" t="str">
        <f t="shared" si="6"/>
        <v/>
      </c>
      <c r="F424" t="str">
        <f>IF(B424="","",VLOOKUP(B424,Stock!$A$5:$B$21,2,FALSE))</f>
        <v/>
      </c>
    </row>
    <row r="425" spans="5:6" x14ac:dyDescent="0.25">
      <c r="E425" t="str">
        <f t="shared" si="6"/>
        <v/>
      </c>
      <c r="F425" t="str">
        <f>IF(B425="","",VLOOKUP(B425,Stock!$A$5:$B$21,2,FALSE))</f>
        <v/>
      </c>
    </row>
    <row r="426" spans="5:6" x14ac:dyDescent="0.25">
      <c r="E426" t="str">
        <f t="shared" si="6"/>
        <v/>
      </c>
      <c r="F426" t="str">
        <f>IF(B426="","",VLOOKUP(B426,Stock!$A$5:$B$21,2,FALSE))</f>
        <v/>
      </c>
    </row>
    <row r="427" spans="5:6" x14ac:dyDescent="0.25">
      <c r="E427" t="str">
        <f t="shared" si="6"/>
        <v/>
      </c>
      <c r="F427" t="str">
        <f>IF(B427="","",VLOOKUP(B427,Stock!$A$5:$B$21,2,FALSE))</f>
        <v/>
      </c>
    </row>
    <row r="428" spans="5:6" x14ac:dyDescent="0.25">
      <c r="E428" t="str">
        <f t="shared" si="6"/>
        <v/>
      </c>
      <c r="F428" t="str">
        <f>IF(B428="","",VLOOKUP(B428,Stock!$A$5:$B$21,2,FALSE))</f>
        <v/>
      </c>
    </row>
    <row r="429" spans="5:6" x14ac:dyDescent="0.25">
      <c r="E429" t="str">
        <f t="shared" si="6"/>
        <v/>
      </c>
      <c r="F429" t="str">
        <f>IF(B429="","",VLOOKUP(B429,Stock!$A$5:$B$21,2,FALSE))</f>
        <v/>
      </c>
    </row>
    <row r="430" spans="5:6" x14ac:dyDescent="0.25">
      <c r="E430" t="str">
        <f t="shared" si="6"/>
        <v/>
      </c>
      <c r="F430" t="str">
        <f>IF(B430="","",VLOOKUP(B430,Stock!$A$5:$B$21,2,FALSE))</f>
        <v/>
      </c>
    </row>
    <row r="431" spans="5:6" x14ac:dyDescent="0.25">
      <c r="E431" t="str">
        <f t="shared" si="6"/>
        <v/>
      </c>
      <c r="F431" t="str">
        <f>IF(B431="","",VLOOKUP(B431,Stock!$A$5:$B$21,2,FALSE))</f>
        <v/>
      </c>
    </row>
    <row r="432" spans="5:6" x14ac:dyDescent="0.25">
      <c r="E432" t="str">
        <f t="shared" si="6"/>
        <v/>
      </c>
      <c r="F432" t="str">
        <f>IF(B432="","",VLOOKUP(B432,Stock!$A$5:$B$21,2,FALSE))</f>
        <v/>
      </c>
    </row>
    <row r="433" spans="5:6" x14ac:dyDescent="0.25">
      <c r="E433" t="str">
        <f t="shared" si="6"/>
        <v/>
      </c>
      <c r="F433" t="str">
        <f>IF(B433="","",VLOOKUP(B433,Stock!$A$5:$B$21,2,FALSE))</f>
        <v/>
      </c>
    </row>
    <row r="434" spans="5:6" x14ac:dyDescent="0.25">
      <c r="E434" t="str">
        <f t="shared" si="6"/>
        <v/>
      </c>
      <c r="F434" t="str">
        <f>IF(B434="","",VLOOKUP(B434,Stock!$A$5:$B$21,2,FALSE))</f>
        <v/>
      </c>
    </row>
    <row r="435" spans="5:6" x14ac:dyDescent="0.25">
      <c r="E435" t="str">
        <f t="shared" si="6"/>
        <v/>
      </c>
      <c r="F435" t="str">
        <f>IF(B435="","",VLOOKUP(B435,Stock!$A$5:$B$21,2,FALSE))</f>
        <v/>
      </c>
    </row>
    <row r="436" spans="5:6" x14ac:dyDescent="0.25">
      <c r="E436" t="str">
        <f t="shared" si="6"/>
        <v/>
      </c>
      <c r="F436" t="str">
        <f>IF(B436="","",VLOOKUP(B436,Stock!$A$5:$B$21,2,FALSE))</f>
        <v/>
      </c>
    </row>
    <row r="437" spans="5:6" x14ac:dyDescent="0.25">
      <c r="E437" t="str">
        <f t="shared" si="6"/>
        <v/>
      </c>
      <c r="F437" t="str">
        <f>IF(B437="","",VLOOKUP(B437,Stock!$A$5:$B$21,2,FALSE))</f>
        <v/>
      </c>
    </row>
    <row r="438" spans="5:6" x14ac:dyDescent="0.25">
      <c r="E438" t="str">
        <f t="shared" si="6"/>
        <v/>
      </c>
      <c r="F438" t="str">
        <f>IF(B438="","",VLOOKUP(B438,Stock!$A$5:$B$21,2,FALSE))</f>
        <v/>
      </c>
    </row>
    <row r="439" spans="5:6" x14ac:dyDescent="0.25">
      <c r="E439" t="str">
        <f t="shared" si="6"/>
        <v/>
      </c>
      <c r="F439" t="str">
        <f>IF(B439="","",VLOOKUP(B439,Stock!$A$5:$B$21,2,FALSE))</f>
        <v/>
      </c>
    </row>
    <row r="440" spans="5:6" x14ac:dyDescent="0.25">
      <c r="E440" t="str">
        <f t="shared" si="6"/>
        <v/>
      </c>
      <c r="F440" t="str">
        <f>IF(B440="","",VLOOKUP(B440,Stock!$A$5:$B$21,2,FALSE))</f>
        <v/>
      </c>
    </row>
    <row r="441" spans="5:6" x14ac:dyDescent="0.25">
      <c r="E441" t="str">
        <f t="shared" si="6"/>
        <v/>
      </c>
      <c r="F441" t="str">
        <f>IF(B441="","",VLOOKUP(B441,Stock!$A$5:$B$21,2,FALSE))</f>
        <v/>
      </c>
    </row>
    <row r="442" spans="5:6" x14ac:dyDescent="0.25">
      <c r="E442" t="str">
        <f t="shared" si="6"/>
        <v/>
      </c>
      <c r="F442" t="str">
        <f>IF(B442="","",VLOOKUP(B442,Stock!$A$5:$B$21,2,FALSE))</f>
        <v/>
      </c>
    </row>
    <row r="443" spans="5:6" x14ac:dyDescent="0.25">
      <c r="E443" t="str">
        <f t="shared" si="6"/>
        <v/>
      </c>
      <c r="F443" t="str">
        <f>IF(B443="","",VLOOKUP(B443,Stock!$A$5:$B$21,2,FALSE))</f>
        <v/>
      </c>
    </row>
    <row r="444" spans="5:6" x14ac:dyDescent="0.25">
      <c r="E444" t="str">
        <f t="shared" si="6"/>
        <v/>
      </c>
      <c r="F444" t="str">
        <f>IF(B444="","",VLOOKUP(B444,Stock!$A$5:$B$21,2,FALSE))</f>
        <v/>
      </c>
    </row>
    <row r="445" spans="5:6" x14ac:dyDescent="0.25">
      <c r="E445" t="str">
        <f t="shared" si="6"/>
        <v/>
      </c>
      <c r="F445" t="str">
        <f>IF(B445="","",VLOOKUP(B445,Stock!$A$5:$B$21,2,FALSE))</f>
        <v/>
      </c>
    </row>
    <row r="446" spans="5:6" x14ac:dyDescent="0.25">
      <c r="E446" t="str">
        <f t="shared" si="6"/>
        <v/>
      </c>
      <c r="F446" t="str">
        <f>IF(B446="","",VLOOKUP(B446,Stock!$A$5:$B$21,2,FALSE))</f>
        <v/>
      </c>
    </row>
    <row r="447" spans="5:6" x14ac:dyDescent="0.25">
      <c r="E447" t="str">
        <f t="shared" si="6"/>
        <v/>
      </c>
      <c r="F447" t="str">
        <f>IF(B447="","",VLOOKUP(B447,Stock!$A$5:$B$21,2,FALSE))</f>
        <v/>
      </c>
    </row>
    <row r="448" spans="5:6" x14ac:dyDescent="0.25">
      <c r="E448" t="str">
        <f t="shared" si="6"/>
        <v/>
      </c>
      <c r="F448" t="str">
        <f>IF(B448="","",VLOOKUP(B448,Stock!$A$5:$B$21,2,FALSE))</f>
        <v/>
      </c>
    </row>
    <row r="449" spans="5:6" x14ac:dyDescent="0.25">
      <c r="E449" t="str">
        <f t="shared" si="6"/>
        <v/>
      </c>
      <c r="F449" t="str">
        <f>IF(B449="","",VLOOKUP(B449,Stock!$A$5:$B$21,2,FALSE))</f>
        <v/>
      </c>
    </row>
    <row r="450" spans="5:6" x14ac:dyDescent="0.25">
      <c r="E450" t="str">
        <f t="shared" si="6"/>
        <v/>
      </c>
      <c r="F450" t="str">
        <f>IF(B450="","",VLOOKUP(B450,Stock!$A$5:$B$21,2,FALSE))</f>
        <v/>
      </c>
    </row>
    <row r="451" spans="5:6" x14ac:dyDescent="0.25">
      <c r="E451" t="str">
        <f t="shared" si="6"/>
        <v/>
      </c>
      <c r="F451" t="str">
        <f>IF(B451="","",VLOOKUP(B451,Stock!$A$5:$B$21,2,FALSE))</f>
        <v/>
      </c>
    </row>
    <row r="452" spans="5:6" x14ac:dyDescent="0.25">
      <c r="E452" t="str">
        <f t="shared" si="6"/>
        <v/>
      </c>
      <c r="F452" t="str">
        <f>IF(B452="","",VLOOKUP(B452,Stock!$A$5:$B$21,2,FALSE))</f>
        <v/>
      </c>
    </row>
    <row r="453" spans="5:6" x14ac:dyDescent="0.25">
      <c r="E453" t="str">
        <f t="shared" ref="E453:E504" si="7">IF(OR(C453="",D453=""),"",C453*D453)</f>
        <v/>
      </c>
      <c r="F453" t="str">
        <f>IF(B453="","",VLOOKUP(B453,Stock!$A$5:$B$21,2,FALSE))</f>
        <v/>
      </c>
    </row>
    <row r="454" spans="5:6" x14ac:dyDescent="0.25">
      <c r="E454" t="str">
        <f t="shared" si="7"/>
        <v/>
      </c>
      <c r="F454" t="str">
        <f>IF(B454="","",VLOOKUP(B454,Stock!$A$5:$B$21,2,FALSE))</f>
        <v/>
      </c>
    </row>
    <row r="455" spans="5:6" x14ac:dyDescent="0.25">
      <c r="E455" t="str">
        <f t="shared" si="7"/>
        <v/>
      </c>
      <c r="F455" t="str">
        <f>IF(B455="","",VLOOKUP(B455,Stock!$A$5:$B$21,2,FALSE))</f>
        <v/>
      </c>
    </row>
    <row r="456" spans="5:6" x14ac:dyDescent="0.25">
      <c r="E456" t="str">
        <f t="shared" si="7"/>
        <v/>
      </c>
      <c r="F456" t="str">
        <f>IF(B456="","",VLOOKUP(B456,Stock!$A$5:$B$21,2,FALSE))</f>
        <v/>
      </c>
    </row>
    <row r="457" spans="5:6" x14ac:dyDescent="0.25">
      <c r="E457" t="str">
        <f t="shared" si="7"/>
        <v/>
      </c>
      <c r="F457" t="str">
        <f>IF(B457="","",VLOOKUP(B457,Stock!$A$5:$B$21,2,FALSE))</f>
        <v/>
      </c>
    </row>
    <row r="458" spans="5:6" x14ac:dyDescent="0.25">
      <c r="E458" t="str">
        <f t="shared" si="7"/>
        <v/>
      </c>
      <c r="F458" t="str">
        <f>IF(B458="","",VLOOKUP(B458,Stock!$A$5:$B$21,2,FALSE))</f>
        <v/>
      </c>
    </row>
    <row r="459" spans="5:6" x14ac:dyDescent="0.25">
      <c r="E459" t="str">
        <f t="shared" si="7"/>
        <v/>
      </c>
      <c r="F459" t="str">
        <f>IF(B459="","",VLOOKUP(B459,Stock!$A$5:$B$21,2,FALSE))</f>
        <v/>
      </c>
    </row>
    <row r="460" spans="5:6" x14ac:dyDescent="0.25">
      <c r="E460" t="str">
        <f t="shared" si="7"/>
        <v/>
      </c>
      <c r="F460" t="str">
        <f>IF(B460="","",VLOOKUP(B460,Stock!$A$5:$B$21,2,FALSE))</f>
        <v/>
      </c>
    </row>
    <row r="461" spans="5:6" x14ac:dyDescent="0.25">
      <c r="E461" t="str">
        <f t="shared" si="7"/>
        <v/>
      </c>
      <c r="F461" t="str">
        <f>IF(B461="","",VLOOKUP(B461,Stock!$A$5:$B$21,2,FALSE))</f>
        <v/>
      </c>
    </row>
    <row r="462" spans="5:6" x14ac:dyDescent="0.25">
      <c r="E462" t="str">
        <f t="shared" si="7"/>
        <v/>
      </c>
      <c r="F462" t="str">
        <f>IF(B462="","",VLOOKUP(B462,Stock!$A$5:$B$21,2,FALSE))</f>
        <v/>
      </c>
    </row>
    <row r="463" spans="5:6" x14ac:dyDescent="0.25">
      <c r="E463" t="str">
        <f t="shared" si="7"/>
        <v/>
      </c>
      <c r="F463" t="str">
        <f>IF(B463="","",VLOOKUP(B463,Stock!$A$5:$B$21,2,FALSE))</f>
        <v/>
      </c>
    </row>
    <row r="464" spans="5:6" x14ac:dyDescent="0.25">
      <c r="E464" t="str">
        <f t="shared" si="7"/>
        <v/>
      </c>
      <c r="F464" t="str">
        <f>IF(B464="","",VLOOKUP(B464,Stock!$A$5:$B$21,2,FALSE))</f>
        <v/>
      </c>
    </row>
    <row r="465" spans="5:6" x14ac:dyDescent="0.25">
      <c r="E465" t="str">
        <f t="shared" si="7"/>
        <v/>
      </c>
      <c r="F465" t="str">
        <f>IF(B465="","",VLOOKUP(B465,Stock!$A$5:$B$21,2,FALSE))</f>
        <v/>
      </c>
    </row>
    <row r="466" spans="5:6" x14ac:dyDescent="0.25">
      <c r="E466" t="str">
        <f t="shared" si="7"/>
        <v/>
      </c>
      <c r="F466" t="str">
        <f>IF(B466="","",VLOOKUP(B466,Stock!$A$5:$B$21,2,FALSE))</f>
        <v/>
      </c>
    </row>
    <row r="467" spans="5:6" x14ac:dyDescent="0.25">
      <c r="E467" t="str">
        <f t="shared" si="7"/>
        <v/>
      </c>
      <c r="F467" t="str">
        <f>IF(B467="","",VLOOKUP(B467,Stock!$A$5:$B$21,2,FALSE))</f>
        <v/>
      </c>
    </row>
    <row r="468" spans="5:6" x14ac:dyDescent="0.25">
      <c r="E468" t="str">
        <f t="shared" si="7"/>
        <v/>
      </c>
      <c r="F468" t="str">
        <f>IF(B468="","",VLOOKUP(B468,Stock!$A$5:$B$21,2,FALSE))</f>
        <v/>
      </c>
    </row>
    <row r="469" spans="5:6" x14ac:dyDescent="0.25">
      <c r="E469" t="str">
        <f t="shared" si="7"/>
        <v/>
      </c>
      <c r="F469" t="str">
        <f>IF(B469="","",VLOOKUP(B469,Stock!$A$5:$B$21,2,FALSE))</f>
        <v/>
      </c>
    </row>
    <row r="470" spans="5:6" x14ac:dyDescent="0.25">
      <c r="E470" t="str">
        <f t="shared" si="7"/>
        <v/>
      </c>
      <c r="F470" t="str">
        <f>IF(B470="","",VLOOKUP(B470,Stock!$A$5:$B$21,2,FALSE))</f>
        <v/>
      </c>
    </row>
    <row r="471" spans="5:6" x14ac:dyDescent="0.25">
      <c r="E471" t="str">
        <f t="shared" si="7"/>
        <v/>
      </c>
      <c r="F471" t="str">
        <f>IF(B471="","",VLOOKUP(B471,Stock!$A$5:$B$21,2,FALSE))</f>
        <v/>
      </c>
    </row>
    <row r="472" spans="5:6" x14ac:dyDescent="0.25">
      <c r="E472" t="str">
        <f t="shared" si="7"/>
        <v/>
      </c>
      <c r="F472" t="str">
        <f>IF(B472="","",VLOOKUP(B472,Stock!$A$5:$B$21,2,FALSE))</f>
        <v/>
      </c>
    </row>
    <row r="473" spans="5:6" x14ac:dyDescent="0.25">
      <c r="E473" t="str">
        <f t="shared" si="7"/>
        <v/>
      </c>
      <c r="F473" t="str">
        <f>IF(B473="","",VLOOKUP(B473,Stock!$A$5:$B$21,2,FALSE))</f>
        <v/>
      </c>
    </row>
    <row r="474" spans="5:6" x14ac:dyDescent="0.25">
      <c r="E474" t="str">
        <f t="shared" si="7"/>
        <v/>
      </c>
      <c r="F474" t="str">
        <f>IF(B474="","",VLOOKUP(B474,Stock!$A$5:$B$21,2,FALSE))</f>
        <v/>
      </c>
    </row>
    <row r="475" spans="5:6" x14ac:dyDescent="0.25">
      <c r="E475" t="str">
        <f t="shared" si="7"/>
        <v/>
      </c>
      <c r="F475" t="str">
        <f>IF(B475="","",VLOOKUP(B475,Stock!$A$5:$B$21,2,FALSE))</f>
        <v/>
      </c>
    </row>
    <row r="476" spans="5:6" x14ac:dyDescent="0.25">
      <c r="E476" t="str">
        <f t="shared" si="7"/>
        <v/>
      </c>
      <c r="F476" t="str">
        <f>IF(B476="","",VLOOKUP(B476,Stock!$A$5:$B$21,2,FALSE))</f>
        <v/>
      </c>
    </row>
    <row r="477" spans="5:6" x14ac:dyDescent="0.25">
      <c r="E477" t="str">
        <f t="shared" si="7"/>
        <v/>
      </c>
      <c r="F477" t="str">
        <f>IF(B477="","",VLOOKUP(B477,Stock!$A$5:$B$21,2,FALSE))</f>
        <v/>
      </c>
    </row>
    <row r="478" spans="5:6" x14ac:dyDescent="0.25">
      <c r="E478" t="str">
        <f t="shared" si="7"/>
        <v/>
      </c>
      <c r="F478" t="str">
        <f>IF(B478="","",VLOOKUP(B478,Stock!$A$5:$B$21,2,FALSE))</f>
        <v/>
      </c>
    </row>
    <row r="479" spans="5:6" x14ac:dyDescent="0.25">
      <c r="E479" t="str">
        <f t="shared" si="7"/>
        <v/>
      </c>
      <c r="F479" t="str">
        <f>IF(B479="","",VLOOKUP(B479,Stock!$A$5:$B$21,2,FALSE))</f>
        <v/>
      </c>
    </row>
    <row r="480" spans="5:6" x14ac:dyDescent="0.25">
      <c r="E480" t="str">
        <f t="shared" si="7"/>
        <v/>
      </c>
      <c r="F480" t="str">
        <f>IF(B480="","",VLOOKUP(B480,Stock!$A$5:$B$21,2,FALSE))</f>
        <v/>
      </c>
    </row>
    <row r="481" spans="5:6" x14ac:dyDescent="0.25">
      <c r="E481" t="str">
        <f t="shared" si="7"/>
        <v/>
      </c>
      <c r="F481" t="str">
        <f>IF(B481="","",VLOOKUP(B481,Stock!$A$5:$B$21,2,FALSE))</f>
        <v/>
      </c>
    </row>
    <row r="482" spans="5:6" x14ac:dyDescent="0.25">
      <c r="E482" t="str">
        <f t="shared" si="7"/>
        <v/>
      </c>
      <c r="F482" t="str">
        <f>IF(B482="","",VLOOKUP(B482,Stock!$A$5:$B$21,2,FALSE))</f>
        <v/>
      </c>
    </row>
    <row r="483" spans="5:6" x14ac:dyDescent="0.25">
      <c r="E483" t="str">
        <f t="shared" si="7"/>
        <v/>
      </c>
      <c r="F483" t="str">
        <f>IF(B483="","",VLOOKUP(B483,Stock!$A$5:$B$21,2,FALSE))</f>
        <v/>
      </c>
    </row>
    <row r="484" spans="5:6" x14ac:dyDescent="0.25">
      <c r="E484" t="str">
        <f t="shared" si="7"/>
        <v/>
      </c>
      <c r="F484" t="str">
        <f>IF(B484="","",VLOOKUP(B484,Stock!$A$5:$B$21,2,FALSE))</f>
        <v/>
      </c>
    </row>
    <row r="485" spans="5:6" x14ac:dyDescent="0.25">
      <c r="E485" t="str">
        <f t="shared" si="7"/>
        <v/>
      </c>
      <c r="F485" t="str">
        <f>IF(B485="","",VLOOKUP(B485,Stock!$A$5:$B$21,2,FALSE))</f>
        <v/>
      </c>
    </row>
    <row r="486" spans="5:6" x14ac:dyDescent="0.25">
      <c r="E486" t="str">
        <f t="shared" si="7"/>
        <v/>
      </c>
      <c r="F486" t="str">
        <f>IF(B486="","",VLOOKUP(B486,Stock!$A$5:$B$21,2,FALSE))</f>
        <v/>
      </c>
    </row>
    <row r="487" spans="5:6" x14ac:dyDescent="0.25">
      <c r="E487" t="str">
        <f t="shared" si="7"/>
        <v/>
      </c>
      <c r="F487" t="str">
        <f>IF(B487="","",VLOOKUP(B487,Stock!$A$5:$B$21,2,FALSE))</f>
        <v/>
      </c>
    </row>
    <row r="488" spans="5:6" x14ac:dyDescent="0.25">
      <c r="E488" t="str">
        <f t="shared" si="7"/>
        <v/>
      </c>
      <c r="F488" t="str">
        <f>IF(B488="","",VLOOKUP(B488,Stock!$A$5:$B$21,2,FALSE))</f>
        <v/>
      </c>
    </row>
    <row r="489" spans="5:6" x14ac:dyDescent="0.25">
      <c r="E489" t="str">
        <f t="shared" si="7"/>
        <v/>
      </c>
      <c r="F489" t="str">
        <f>IF(B489="","",VLOOKUP(B489,Stock!$A$5:$B$21,2,FALSE))</f>
        <v/>
      </c>
    </row>
    <row r="490" spans="5:6" x14ac:dyDescent="0.25">
      <c r="E490" t="str">
        <f t="shared" si="7"/>
        <v/>
      </c>
      <c r="F490" t="str">
        <f>IF(B490="","",VLOOKUP(B490,Stock!$A$5:$B$21,2,FALSE))</f>
        <v/>
      </c>
    </row>
    <row r="491" spans="5:6" x14ac:dyDescent="0.25">
      <c r="E491" t="str">
        <f t="shared" si="7"/>
        <v/>
      </c>
      <c r="F491" t="str">
        <f>IF(B491="","",VLOOKUP(B491,Stock!$A$5:$B$21,2,FALSE))</f>
        <v/>
      </c>
    </row>
    <row r="492" spans="5:6" x14ac:dyDescent="0.25">
      <c r="E492" t="str">
        <f t="shared" si="7"/>
        <v/>
      </c>
      <c r="F492" t="str">
        <f>IF(B492="","",VLOOKUP(B492,Stock!$A$5:$B$21,2,FALSE))</f>
        <v/>
      </c>
    </row>
    <row r="493" spans="5:6" x14ac:dyDescent="0.25">
      <c r="E493" t="str">
        <f t="shared" si="7"/>
        <v/>
      </c>
      <c r="F493" t="str">
        <f>IF(B493="","",VLOOKUP(B493,Stock!$A$5:$B$21,2,FALSE))</f>
        <v/>
      </c>
    </row>
    <row r="494" spans="5:6" x14ac:dyDescent="0.25">
      <c r="E494" t="str">
        <f t="shared" si="7"/>
        <v/>
      </c>
      <c r="F494" t="str">
        <f>IF(B494="","",VLOOKUP(B494,Stock!$A$5:$B$21,2,FALSE))</f>
        <v/>
      </c>
    </row>
    <row r="495" spans="5:6" x14ac:dyDescent="0.25">
      <c r="E495" t="str">
        <f t="shared" si="7"/>
        <v/>
      </c>
      <c r="F495" t="str">
        <f>IF(B495="","",VLOOKUP(B495,Stock!$A$5:$B$21,2,FALSE))</f>
        <v/>
      </c>
    </row>
    <row r="496" spans="5:6" x14ac:dyDescent="0.25">
      <c r="E496" t="str">
        <f t="shared" si="7"/>
        <v/>
      </c>
      <c r="F496" t="str">
        <f>IF(B496="","",VLOOKUP(B496,Stock!$A$5:$B$21,2,FALSE))</f>
        <v/>
      </c>
    </row>
    <row r="497" spans="5:6" x14ac:dyDescent="0.25">
      <c r="E497" t="str">
        <f t="shared" si="7"/>
        <v/>
      </c>
      <c r="F497" t="str">
        <f>IF(B497="","",VLOOKUP(B497,Stock!$A$5:$B$21,2,FALSE))</f>
        <v/>
      </c>
    </row>
    <row r="498" spans="5:6" x14ac:dyDescent="0.25">
      <c r="E498" t="str">
        <f t="shared" si="7"/>
        <v/>
      </c>
      <c r="F498" t="str">
        <f>IF(B498="","",VLOOKUP(B498,Stock!$A$5:$B$21,2,FALSE))</f>
        <v/>
      </c>
    </row>
    <row r="499" spans="5:6" x14ac:dyDescent="0.25">
      <c r="E499" t="str">
        <f t="shared" si="7"/>
        <v/>
      </c>
      <c r="F499" t="str">
        <f>IF(B499="","",VLOOKUP(B499,Stock!$A$5:$B$21,2,FALSE))</f>
        <v/>
      </c>
    </row>
    <row r="500" spans="5:6" x14ac:dyDescent="0.25">
      <c r="E500" t="str">
        <f t="shared" si="7"/>
        <v/>
      </c>
      <c r="F500" t="str">
        <f>IF(B500="","",VLOOKUP(B500,Stock!$A$5:$B$21,2,FALSE))</f>
        <v/>
      </c>
    </row>
    <row r="501" spans="5:6" x14ac:dyDescent="0.25">
      <c r="E501" t="str">
        <f t="shared" si="7"/>
        <v/>
      </c>
      <c r="F501" t="str">
        <f>IF(B501="","",VLOOKUP(B501,Stock!$A$5:$B$21,2,FALSE))</f>
        <v/>
      </c>
    </row>
    <row r="502" spans="5:6" x14ac:dyDescent="0.25">
      <c r="E502" t="str">
        <f t="shared" si="7"/>
        <v/>
      </c>
      <c r="F502" t="str">
        <f>IF(B502="","",VLOOKUP(B502,Stock!$A$5:$B$21,2,FALSE))</f>
        <v/>
      </c>
    </row>
    <row r="503" spans="5:6" x14ac:dyDescent="0.25">
      <c r="E503" t="str">
        <f t="shared" si="7"/>
        <v/>
      </c>
      <c r="F503" t="str">
        <f>IF(B503="","",VLOOKUP(B503,Stock!$A$5:$B$21,2,FALSE))</f>
        <v/>
      </c>
    </row>
    <row r="504" spans="5:6" x14ac:dyDescent="0.25">
      <c r="E504" t="str">
        <f t="shared" si="7"/>
        <v/>
      </c>
      <c r="F504" t="str">
        <f>IF(B504="","",VLOOKUP(B504,Stock!$A$5:$B$21,2,FALSE))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36"/>
  <sheetViews>
    <sheetView showGridLines="0" zoomScale="115" zoomScaleNormal="115" workbookViewId="0">
      <pane ySplit="4" topLeftCell="A8" activePane="bottomLeft" state="frozen"/>
      <selection pane="bottomLeft" activeCell="A25" sqref="A25:XFD25"/>
    </sheetView>
  </sheetViews>
  <sheetFormatPr defaultRowHeight="15" x14ac:dyDescent="0.25"/>
  <cols>
    <col min="1" max="1" width="24" customWidth="1"/>
    <col min="2" max="2" width="12" customWidth="1"/>
    <col min="3" max="3" width="21.5703125" customWidth="1"/>
    <col min="4" max="4" width="20" customWidth="1"/>
    <col min="5" max="5" width="33" style="33" customWidth="1"/>
    <col min="6" max="6" width="12" customWidth="1"/>
    <col min="7" max="7" width="20.42578125" customWidth="1"/>
    <col min="8" max="8" width="23" customWidth="1"/>
    <col min="9" max="9" width="20" customWidth="1"/>
    <col min="10" max="10" width="22" style="33" customWidth="1"/>
  </cols>
  <sheetData>
    <row r="1" spans="1:10" ht="32.1" customHeight="1" thickBot="1" x14ac:dyDescent="0.45">
      <c r="A1" s="61" t="s">
        <v>0</v>
      </c>
      <c r="B1" s="62"/>
      <c r="C1" s="62"/>
      <c r="D1" s="62"/>
      <c r="E1" s="63"/>
      <c r="F1" s="62"/>
      <c r="G1" s="62"/>
      <c r="H1" s="62"/>
      <c r="I1" s="62"/>
      <c r="J1" s="63"/>
    </row>
    <row r="4" spans="1:10" s="12" customFormat="1" ht="18.75" x14ac:dyDescent="0.3">
      <c r="A4" s="14" t="s">
        <v>1</v>
      </c>
      <c r="B4" s="14" t="s">
        <v>2</v>
      </c>
      <c r="C4" s="14" t="s">
        <v>3</v>
      </c>
      <c r="D4" s="14" t="s">
        <v>4</v>
      </c>
      <c r="E4" s="14" t="s">
        <v>35</v>
      </c>
      <c r="F4" s="14" t="s">
        <v>5</v>
      </c>
      <c r="G4" s="14" t="s">
        <v>6</v>
      </c>
      <c r="H4" s="14" t="s">
        <v>7</v>
      </c>
      <c r="I4" s="14" t="s">
        <v>8</v>
      </c>
      <c r="J4" s="14" t="s">
        <v>9</v>
      </c>
    </row>
    <row r="5" spans="1:10" x14ac:dyDescent="0.25">
      <c r="A5" s="13" t="s">
        <v>10</v>
      </c>
      <c r="B5" s="13" t="s">
        <v>11</v>
      </c>
      <c r="C5" s="13">
        <v>60</v>
      </c>
      <c r="D5" s="13">
        <v>1010</v>
      </c>
      <c r="E5" s="16">
        <v>16.759807549962989</v>
      </c>
      <c r="F5" s="13">
        <f>SUMIF('Sales Log'!$B:$B,A5,'Sales Log'!$C:$C)</f>
        <v>13.249999999999998</v>
      </c>
      <c r="G5" s="13">
        <f>C5-F5</f>
        <v>46.75</v>
      </c>
      <c r="H5" s="16">
        <f>E5*G5</f>
        <v>783.52100296076969</v>
      </c>
      <c r="I5" s="13">
        <v>20</v>
      </c>
      <c r="J5" s="16">
        <v>15.5</v>
      </c>
    </row>
    <row r="6" spans="1:10" x14ac:dyDescent="0.25">
      <c r="A6" s="13" t="s">
        <v>12</v>
      </c>
      <c r="B6" s="13" t="s">
        <v>11</v>
      </c>
      <c r="C6" s="13">
        <v>60</v>
      </c>
      <c r="D6" s="13">
        <v>1080</v>
      </c>
      <c r="E6" s="16">
        <f t="shared" ref="E6:E18" si="0">IF(C6=0,0,D6/C6)</f>
        <v>18</v>
      </c>
      <c r="F6" s="13">
        <f>SUMIF('Sales Log'!$B:$B,A6,'Sales Log'!$C:$C)</f>
        <v>36.239999999999995</v>
      </c>
      <c r="G6" s="13">
        <f t="shared" ref="G6:G18" si="1">C6-F6</f>
        <v>23.760000000000005</v>
      </c>
      <c r="H6" s="16">
        <f t="shared" ref="H6:H18" si="2">E6*G6</f>
        <v>427.68000000000006</v>
      </c>
      <c r="I6" s="13"/>
      <c r="J6" s="16"/>
    </row>
    <row r="7" spans="1:10" x14ac:dyDescent="0.25">
      <c r="A7" s="13" t="s">
        <v>13</v>
      </c>
      <c r="B7" s="13" t="s">
        <v>11</v>
      </c>
      <c r="C7" s="13">
        <v>80</v>
      </c>
      <c r="D7" s="13">
        <v>1420</v>
      </c>
      <c r="E7" s="16">
        <v>17.641139421700544</v>
      </c>
      <c r="F7" s="13">
        <f>SUMIF('Sales Log'!$B:$B,A7,'Sales Log'!$C:$C)</f>
        <v>77.490000000000009</v>
      </c>
      <c r="G7" s="13">
        <f>C7-F7</f>
        <v>2.5099999999999909</v>
      </c>
      <c r="H7" s="16">
        <f>E7*G7</f>
        <v>44.279259948468201</v>
      </c>
      <c r="I7" s="13">
        <v>40</v>
      </c>
      <c r="J7" s="16">
        <v>17</v>
      </c>
    </row>
    <row r="8" spans="1:10" x14ac:dyDescent="0.25">
      <c r="A8" s="13" t="s">
        <v>14</v>
      </c>
      <c r="B8" s="13" t="s">
        <v>11</v>
      </c>
      <c r="C8" s="13">
        <v>23</v>
      </c>
      <c r="D8" s="13">
        <v>460</v>
      </c>
      <c r="E8" s="16">
        <f t="shared" si="0"/>
        <v>20</v>
      </c>
      <c r="F8" s="13">
        <f>SUMIF('Sales Log'!$B:$B,A8,'Sales Log'!$C:$C)</f>
        <v>14.25</v>
      </c>
      <c r="G8" s="13">
        <f t="shared" si="1"/>
        <v>8.75</v>
      </c>
      <c r="H8" s="16">
        <f t="shared" si="2"/>
        <v>175</v>
      </c>
      <c r="I8" s="13"/>
      <c r="J8" s="16"/>
    </row>
    <row r="9" spans="1:10" x14ac:dyDescent="0.25">
      <c r="A9" s="13" t="s">
        <v>15</v>
      </c>
      <c r="B9" s="13" t="s">
        <v>11</v>
      </c>
      <c r="C9" s="13">
        <v>60</v>
      </c>
      <c r="D9" s="13">
        <v>890</v>
      </c>
      <c r="E9" s="16">
        <v>14.735868991019546</v>
      </c>
      <c r="F9" s="13">
        <f>SUMIF('Sales Log'!$B:$B,A9,'Sales Log'!$C:$C)</f>
        <v>57.149999999999991</v>
      </c>
      <c r="G9" s="13">
        <f>C9-F9</f>
        <v>2.8500000000000085</v>
      </c>
      <c r="H9" s="16">
        <f>E9*G9</f>
        <v>41.997226624405833</v>
      </c>
      <c r="I9" s="13">
        <v>20</v>
      </c>
      <c r="J9" s="16">
        <v>14.5</v>
      </c>
    </row>
    <row r="10" spans="1:10" x14ac:dyDescent="0.25">
      <c r="A10" s="13" t="s">
        <v>16</v>
      </c>
      <c r="B10" s="13" t="s">
        <v>11</v>
      </c>
      <c r="C10" s="13">
        <v>40</v>
      </c>
      <c r="D10" s="13">
        <v>610</v>
      </c>
      <c r="E10" s="16">
        <v>15.126891734575088</v>
      </c>
      <c r="F10" s="13">
        <f>SUMIF('Sales Log'!$B:$B,A10,'Sales Log'!$C:$C)</f>
        <v>23.05</v>
      </c>
      <c r="G10" s="13">
        <f>C10-F10</f>
        <v>16.95</v>
      </c>
      <c r="H10" s="16">
        <f>E10*G10</f>
        <v>256.40081490104774</v>
      </c>
      <c r="I10" s="13">
        <v>20</v>
      </c>
      <c r="J10" s="16">
        <v>14.5</v>
      </c>
    </row>
    <row r="11" spans="1:10" x14ac:dyDescent="0.25">
      <c r="A11" s="13" t="s">
        <v>72</v>
      </c>
      <c r="B11" s="13" t="s">
        <v>11</v>
      </c>
      <c r="C11" s="13">
        <v>20</v>
      </c>
      <c r="D11" s="13">
        <v>310</v>
      </c>
      <c r="E11" s="16">
        <v>15.5</v>
      </c>
      <c r="F11" s="13">
        <f>SUMIF('Sales Log'!$B:$B,A11,'Sales Log'!$C:$C)</f>
        <v>10.879999999999999</v>
      </c>
      <c r="G11" s="13">
        <f>C11-F11</f>
        <v>9.120000000000001</v>
      </c>
      <c r="H11" s="16">
        <f>E11*G11</f>
        <v>141.36000000000001</v>
      </c>
      <c r="I11" s="13">
        <v>20</v>
      </c>
      <c r="J11" s="16">
        <v>15.5</v>
      </c>
    </row>
    <row r="12" spans="1:10" x14ac:dyDescent="0.25">
      <c r="A12" s="13" t="s">
        <v>17</v>
      </c>
      <c r="B12" s="13" t="s">
        <v>18</v>
      </c>
      <c r="C12" s="13">
        <v>49</v>
      </c>
      <c r="D12" s="13">
        <v>220</v>
      </c>
      <c r="E12" s="16">
        <v>4.5571428571428569</v>
      </c>
      <c r="F12" s="13">
        <f>SUMIF('Sales Log'!$B:$B,A12,'Sales Log'!$C:$C)</f>
        <v>46</v>
      </c>
      <c r="G12" s="13">
        <f>C12-F12</f>
        <v>3</v>
      </c>
      <c r="H12" s="16">
        <f>E12*G12</f>
        <v>13.671428571428571</v>
      </c>
      <c r="I12" s="13">
        <v>24</v>
      </c>
      <c r="J12" s="16">
        <v>4.583333333333333</v>
      </c>
    </row>
    <row r="13" spans="1:10" x14ac:dyDescent="0.25">
      <c r="A13" s="13" t="s">
        <v>19</v>
      </c>
      <c r="B13" s="13" t="s">
        <v>18</v>
      </c>
      <c r="C13" s="13">
        <v>10</v>
      </c>
      <c r="D13" s="13">
        <v>100</v>
      </c>
      <c r="E13" s="16">
        <f t="shared" si="0"/>
        <v>10</v>
      </c>
      <c r="F13" s="13">
        <f>SUMIF('Sales Log'!$B:$B,A13,'Sales Log'!$C:$C)</f>
        <v>10</v>
      </c>
      <c r="G13" s="13">
        <f t="shared" si="1"/>
        <v>0</v>
      </c>
      <c r="H13" s="16">
        <f t="shared" si="2"/>
        <v>0</v>
      </c>
      <c r="I13" s="13"/>
      <c r="J13" s="16"/>
    </row>
    <row r="14" spans="1:10" x14ac:dyDescent="0.25">
      <c r="A14" s="13" t="s">
        <v>20</v>
      </c>
      <c r="B14" s="13" t="s">
        <v>11</v>
      </c>
      <c r="C14" s="13">
        <v>20</v>
      </c>
      <c r="D14" s="13">
        <v>540</v>
      </c>
      <c r="E14" s="16">
        <v>27</v>
      </c>
      <c r="F14" s="13">
        <f>SUMIF('Sales Log'!$B:$B,A14,'Sales Log'!$C:$C)</f>
        <v>15.544999999999998</v>
      </c>
      <c r="G14" s="13">
        <f>C14-F14</f>
        <v>4.4550000000000018</v>
      </c>
      <c r="H14" s="16">
        <f>E14*G14</f>
        <v>120.28500000000005</v>
      </c>
      <c r="I14" s="13">
        <v>10</v>
      </c>
      <c r="J14" s="16">
        <v>27</v>
      </c>
    </row>
    <row r="15" spans="1:10" x14ac:dyDescent="0.25">
      <c r="A15" s="13" t="s">
        <v>65</v>
      </c>
      <c r="B15" s="13" t="s">
        <v>18</v>
      </c>
      <c r="C15" s="13">
        <v>12</v>
      </c>
      <c r="D15" s="13">
        <v>180</v>
      </c>
      <c r="E15" s="16">
        <v>15</v>
      </c>
      <c r="F15" s="13">
        <f>SUMIF('Sales Log'!$B:$B,A15,'Sales Log'!$C:$C)</f>
        <v>3</v>
      </c>
      <c r="G15" s="13">
        <f>C15-F15</f>
        <v>9</v>
      </c>
      <c r="H15" s="16">
        <f>E15*G15</f>
        <v>135</v>
      </c>
      <c r="I15" s="13">
        <v>12</v>
      </c>
      <c r="J15" s="16">
        <v>15</v>
      </c>
    </row>
    <row r="16" spans="1:10" x14ac:dyDescent="0.25">
      <c r="A16" s="13" t="s">
        <v>21</v>
      </c>
      <c r="B16" s="13" t="s">
        <v>18</v>
      </c>
      <c r="C16" s="13">
        <v>15</v>
      </c>
      <c r="D16" s="13">
        <v>230</v>
      </c>
      <c r="E16" s="16">
        <f t="shared" si="0"/>
        <v>15.333333333333334</v>
      </c>
      <c r="F16" s="13">
        <f>SUMIF('Sales Log'!$B:$B,A16,'Sales Log'!$C:$C)</f>
        <v>15</v>
      </c>
      <c r="G16" s="13">
        <f t="shared" si="1"/>
        <v>0</v>
      </c>
      <c r="H16" s="16">
        <f t="shared" si="2"/>
        <v>0</v>
      </c>
      <c r="I16" s="13"/>
      <c r="J16" s="16"/>
    </row>
    <row r="17" spans="1:10" x14ac:dyDescent="0.25">
      <c r="A17" s="13" t="s">
        <v>22</v>
      </c>
      <c r="B17" s="13" t="s">
        <v>18</v>
      </c>
      <c r="C17" s="13">
        <v>10</v>
      </c>
      <c r="D17" s="13">
        <v>140</v>
      </c>
      <c r="E17" s="16">
        <f t="shared" si="0"/>
        <v>14</v>
      </c>
      <c r="F17" s="13">
        <f>SUMIF('Sales Log'!$B:$B,A17,'Sales Log'!$C:$C)</f>
        <v>10</v>
      </c>
      <c r="G17" s="13">
        <f t="shared" si="1"/>
        <v>0</v>
      </c>
      <c r="H17" s="16">
        <f t="shared" si="2"/>
        <v>0</v>
      </c>
      <c r="I17" s="13"/>
      <c r="J17" s="16"/>
    </row>
    <row r="18" spans="1:10" x14ac:dyDescent="0.25">
      <c r="A18" s="13" t="s">
        <v>23</v>
      </c>
      <c r="B18" s="13" t="s">
        <v>11</v>
      </c>
      <c r="C18" s="13">
        <v>20</v>
      </c>
      <c r="D18" s="13">
        <v>320</v>
      </c>
      <c r="E18" s="16">
        <f t="shared" si="0"/>
        <v>16</v>
      </c>
      <c r="F18" s="13">
        <f>SUMIF('Sales Log'!$B:$B,A18,'Sales Log'!$C:$C)</f>
        <v>16.250000000000004</v>
      </c>
      <c r="G18" s="13">
        <f t="shared" si="1"/>
        <v>3.7499999999999964</v>
      </c>
      <c r="H18" s="16">
        <f t="shared" si="2"/>
        <v>59.999999999999943</v>
      </c>
      <c r="I18" s="13"/>
      <c r="J18" s="16"/>
    </row>
    <row r="19" spans="1:10" x14ac:dyDescent="0.25">
      <c r="A19" s="13" t="s">
        <v>24</v>
      </c>
      <c r="B19" s="13" t="s">
        <v>25</v>
      </c>
      <c r="C19" s="13">
        <v>60</v>
      </c>
      <c r="D19" s="13">
        <v>420</v>
      </c>
      <c r="E19" s="16">
        <v>7</v>
      </c>
      <c r="F19" s="13">
        <f>SUMIF('Sales Log'!$B:$B,A19,'Sales Log'!$C:$C)</f>
        <v>42</v>
      </c>
      <c r="G19" s="13">
        <f>C19-F19</f>
        <v>18</v>
      </c>
      <c r="H19" s="16">
        <f>E19*G19</f>
        <v>126</v>
      </c>
      <c r="I19" s="13">
        <v>30</v>
      </c>
      <c r="J19" s="16">
        <v>7</v>
      </c>
    </row>
    <row r="20" spans="1:10" x14ac:dyDescent="0.25">
      <c r="A20" s="13" t="s">
        <v>26</v>
      </c>
      <c r="B20" s="13" t="s">
        <v>25</v>
      </c>
      <c r="C20" s="13">
        <v>44</v>
      </c>
      <c r="D20" s="13">
        <v>1085</v>
      </c>
      <c r="E20" s="16">
        <v>24.558823529411764</v>
      </c>
      <c r="F20" s="13">
        <f>SUMIF('Sales Log'!$B:$B,A20,'Sales Log'!$C:$C)</f>
        <v>42</v>
      </c>
      <c r="G20" s="13">
        <f>C20-F20</f>
        <v>2</v>
      </c>
      <c r="H20" s="16">
        <f>E20*G20</f>
        <v>49.117647058823529</v>
      </c>
      <c r="I20" s="13">
        <v>12</v>
      </c>
      <c r="J20" s="16">
        <v>23.75</v>
      </c>
    </row>
    <row r="21" spans="1:10" x14ac:dyDescent="0.25">
      <c r="A21" s="13" t="s">
        <v>27</v>
      </c>
      <c r="B21" s="13" t="s">
        <v>18</v>
      </c>
      <c r="C21" s="13">
        <v>40</v>
      </c>
      <c r="D21" s="13">
        <v>860</v>
      </c>
      <c r="E21" s="16">
        <v>22</v>
      </c>
      <c r="F21" s="13">
        <f>SUMIF('Sales Log'!$B:$B,A21,'Sales Log'!$C:$C)</f>
        <v>40</v>
      </c>
      <c r="G21" s="13">
        <f>C21-F21</f>
        <v>0</v>
      </c>
      <c r="H21" s="16">
        <f>E21*G21</f>
        <v>0</v>
      </c>
      <c r="I21" s="13">
        <v>20</v>
      </c>
      <c r="J21" s="16">
        <v>22</v>
      </c>
    </row>
    <row r="22" spans="1:10" x14ac:dyDescent="0.25">
      <c r="A22" s="13" t="s">
        <v>62</v>
      </c>
      <c r="B22" s="13" t="s">
        <v>18</v>
      </c>
      <c r="C22" s="13">
        <v>10</v>
      </c>
      <c r="D22" s="13">
        <v>120</v>
      </c>
      <c r="E22" s="16">
        <v>12</v>
      </c>
      <c r="F22" s="13">
        <f>SUMIF('Sales Log'!$B:$B,A22,'Sales Log'!$C:$C)</f>
        <v>8</v>
      </c>
      <c r="G22" s="13">
        <f t="shared" ref="G22:G27" si="3">C22-F22</f>
        <v>2</v>
      </c>
      <c r="H22" s="16">
        <f t="shared" ref="H22:H27" si="4">E22*G22</f>
        <v>24</v>
      </c>
      <c r="I22" s="13">
        <v>10</v>
      </c>
      <c r="J22" s="16">
        <v>12</v>
      </c>
    </row>
    <row r="23" spans="1:10" x14ac:dyDescent="0.25">
      <c r="A23" s="13" t="s">
        <v>64</v>
      </c>
      <c r="B23" s="13" t="s">
        <v>11</v>
      </c>
      <c r="C23" s="13">
        <v>10</v>
      </c>
      <c r="D23" s="13">
        <v>180</v>
      </c>
      <c r="E23" s="16">
        <v>18</v>
      </c>
      <c r="F23" s="13">
        <f>SUMIF('Sales Log'!$B:$B,A23,'Sales Log'!$C:$C)</f>
        <v>6.2299999999999995</v>
      </c>
      <c r="G23" s="13">
        <f t="shared" si="3"/>
        <v>3.7700000000000005</v>
      </c>
      <c r="H23" s="16">
        <f t="shared" si="4"/>
        <v>67.860000000000014</v>
      </c>
      <c r="I23" s="13">
        <v>10</v>
      </c>
      <c r="J23" s="16">
        <v>18</v>
      </c>
    </row>
    <row r="24" spans="1:10" x14ac:dyDescent="0.25">
      <c r="A24" s="13" t="s">
        <v>66</v>
      </c>
      <c r="B24" s="13" t="s">
        <v>11</v>
      </c>
      <c r="C24" s="13">
        <v>10</v>
      </c>
      <c r="D24" s="13">
        <v>235</v>
      </c>
      <c r="E24" s="16">
        <v>23.5</v>
      </c>
      <c r="F24" s="13">
        <f>SUMIF('Sales Log'!$B:$B,A24,'Sales Log'!$C:$C)</f>
        <v>9.7799999999999994</v>
      </c>
      <c r="G24" s="13">
        <f t="shared" si="3"/>
        <v>0.22000000000000064</v>
      </c>
      <c r="H24" s="16">
        <f t="shared" si="4"/>
        <v>5.170000000000015</v>
      </c>
      <c r="I24" s="13">
        <v>10</v>
      </c>
      <c r="J24" s="16">
        <v>23.5</v>
      </c>
    </row>
    <row r="25" spans="1:10" x14ac:dyDescent="0.25">
      <c r="A25" s="13" t="s">
        <v>73</v>
      </c>
      <c r="B25" s="13" t="s">
        <v>18</v>
      </c>
      <c r="C25" s="13">
        <v>10</v>
      </c>
      <c r="D25" s="13">
        <v>200</v>
      </c>
      <c r="E25" s="16">
        <v>20</v>
      </c>
      <c r="F25" s="13">
        <f>SUMIF('Sales Log'!$B:$B,A25,'Sales Log'!$C:$C)</f>
        <v>10</v>
      </c>
      <c r="G25" s="13">
        <f t="shared" si="3"/>
        <v>0</v>
      </c>
      <c r="H25" s="16">
        <f t="shared" si="4"/>
        <v>0</v>
      </c>
      <c r="I25" s="13">
        <v>10</v>
      </c>
      <c r="J25" s="16">
        <v>20</v>
      </c>
    </row>
    <row r="26" spans="1:10" x14ac:dyDescent="0.25">
      <c r="A26" s="13" t="s">
        <v>74</v>
      </c>
      <c r="B26" s="13" t="s">
        <v>11</v>
      </c>
      <c r="C26" s="13">
        <v>20</v>
      </c>
      <c r="D26" s="13">
        <v>330</v>
      </c>
      <c r="E26" s="16">
        <v>16.5</v>
      </c>
      <c r="F26" s="13">
        <f>SUMIF('Sales Log'!$B:$B,A26,'Sales Log'!$C:$C)</f>
        <v>12.84</v>
      </c>
      <c r="G26" s="13">
        <f t="shared" si="3"/>
        <v>7.16</v>
      </c>
      <c r="H26" s="16">
        <f t="shared" si="4"/>
        <v>118.14</v>
      </c>
      <c r="I26" s="13">
        <v>20</v>
      </c>
      <c r="J26" s="16">
        <v>16.5</v>
      </c>
    </row>
    <row r="27" spans="1:10" x14ac:dyDescent="0.25">
      <c r="A27" s="13" t="s">
        <v>63</v>
      </c>
      <c r="B27" s="13" t="s">
        <v>18</v>
      </c>
      <c r="C27" s="13">
        <v>24</v>
      </c>
      <c r="D27" s="13">
        <v>160</v>
      </c>
      <c r="E27" s="16">
        <v>6.666666666666667</v>
      </c>
      <c r="F27" s="13">
        <f>SUMIF('Sales Log'!$B:$B,A27,'Sales Log'!$C:$C)</f>
        <v>2</v>
      </c>
      <c r="G27" s="13">
        <f t="shared" si="3"/>
        <v>22</v>
      </c>
      <c r="H27" s="16">
        <f t="shared" si="4"/>
        <v>146.66666666666669</v>
      </c>
      <c r="I27" s="13">
        <v>24</v>
      </c>
      <c r="J27" s="16">
        <v>6.666666666666667</v>
      </c>
    </row>
    <row r="30" spans="1:10" ht="21" x14ac:dyDescent="0.35">
      <c r="C30" s="9" t="s">
        <v>49</v>
      </c>
      <c r="H30" s="9" t="s">
        <v>48</v>
      </c>
    </row>
    <row r="31" spans="1:10" ht="21" x14ac:dyDescent="0.35">
      <c r="C31" s="17">
        <f>SUM(C5:C21)</f>
        <v>623</v>
      </c>
      <c r="H31" s="15">
        <f>SUM(H5:H28)</f>
        <v>2736.1490467316103</v>
      </c>
    </row>
    <row r="49" spans="3:6" ht="30" x14ac:dyDescent="0.25">
      <c r="C49" s="49"/>
      <c r="D49" s="51"/>
      <c r="E49" s="53" t="s">
        <v>93</v>
      </c>
      <c r="F49" s="54" t="s">
        <v>94</v>
      </c>
    </row>
    <row r="50" spans="3:6" x14ac:dyDescent="0.25">
      <c r="C50" s="52"/>
      <c r="D50" s="50"/>
      <c r="E50" s="55" t="s">
        <v>95</v>
      </c>
      <c r="F50" s="56">
        <v>16.760000000000002</v>
      </c>
    </row>
    <row r="51" spans="3:6" x14ac:dyDescent="0.25">
      <c r="C51" s="52"/>
      <c r="D51" s="50"/>
      <c r="E51" s="55" t="s">
        <v>96</v>
      </c>
      <c r="F51" s="56">
        <v>18</v>
      </c>
    </row>
    <row r="52" spans="3:6" x14ac:dyDescent="0.25">
      <c r="C52" s="52"/>
      <c r="D52" s="50"/>
      <c r="E52" s="55" t="s">
        <v>97</v>
      </c>
      <c r="F52" s="56">
        <v>17.64</v>
      </c>
    </row>
    <row r="53" spans="3:6" x14ac:dyDescent="0.25">
      <c r="C53" s="52"/>
      <c r="D53" s="50"/>
      <c r="E53" s="55" t="s">
        <v>98</v>
      </c>
      <c r="F53" s="56">
        <v>20</v>
      </c>
    </row>
    <row r="54" spans="3:6" x14ac:dyDescent="0.25">
      <c r="C54" s="52"/>
      <c r="D54" s="50"/>
      <c r="E54" s="55" t="s">
        <v>99</v>
      </c>
      <c r="F54" s="56">
        <v>14.74</v>
      </c>
    </row>
    <row r="55" spans="3:6" x14ac:dyDescent="0.25">
      <c r="C55" s="52"/>
      <c r="D55" s="50"/>
      <c r="E55" s="55" t="s">
        <v>100</v>
      </c>
      <c r="F55" s="56">
        <v>15.13</v>
      </c>
    </row>
    <row r="56" spans="3:6" x14ac:dyDescent="0.25">
      <c r="C56" s="52"/>
      <c r="D56" s="50"/>
      <c r="E56" s="55" t="s">
        <v>101</v>
      </c>
      <c r="F56" s="56">
        <v>15.5</v>
      </c>
    </row>
    <row r="57" spans="3:6" x14ac:dyDescent="0.25">
      <c r="C57" s="52"/>
      <c r="D57" s="50"/>
      <c r="E57" s="55" t="s">
        <v>102</v>
      </c>
      <c r="F57" s="56">
        <v>4.5599999999999996</v>
      </c>
    </row>
    <row r="58" spans="3:6" x14ac:dyDescent="0.25">
      <c r="C58" s="52"/>
      <c r="D58" s="50"/>
      <c r="E58" s="55" t="s">
        <v>103</v>
      </c>
      <c r="F58" s="56">
        <v>10</v>
      </c>
    </row>
    <row r="59" spans="3:6" x14ac:dyDescent="0.25">
      <c r="C59" s="52"/>
      <c r="D59" s="50"/>
      <c r="E59" s="55" t="s">
        <v>104</v>
      </c>
      <c r="F59" s="56">
        <v>27</v>
      </c>
    </row>
    <row r="60" spans="3:6" x14ac:dyDescent="0.25">
      <c r="C60" s="52"/>
      <c r="D60" s="50"/>
      <c r="E60" s="55" t="s">
        <v>105</v>
      </c>
      <c r="F60" s="56">
        <v>15</v>
      </c>
    </row>
    <row r="61" spans="3:6" x14ac:dyDescent="0.25">
      <c r="C61" s="52"/>
      <c r="D61" s="50"/>
      <c r="E61" s="55" t="s">
        <v>106</v>
      </c>
      <c r="F61" s="56">
        <v>15.33</v>
      </c>
    </row>
    <row r="62" spans="3:6" x14ac:dyDescent="0.25">
      <c r="C62" s="52"/>
      <c r="D62" s="50"/>
      <c r="E62" s="55" t="s">
        <v>107</v>
      </c>
      <c r="F62" s="56">
        <v>14</v>
      </c>
    </row>
    <row r="63" spans="3:6" x14ac:dyDescent="0.25">
      <c r="C63" s="52"/>
      <c r="D63" s="50"/>
      <c r="E63" s="55" t="s">
        <v>108</v>
      </c>
      <c r="F63" s="56">
        <v>16</v>
      </c>
    </row>
    <row r="64" spans="3:6" x14ac:dyDescent="0.25">
      <c r="C64" s="52"/>
      <c r="D64" s="50"/>
      <c r="E64" s="55" t="s">
        <v>109</v>
      </c>
      <c r="F64" s="56">
        <v>7</v>
      </c>
    </row>
    <row r="65" spans="3:6" x14ac:dyDescent="0.25">
      <c r="C65" s="52"/>
      <c r="D65" s="50"/>
      <c r="E65" s="55" t="s">
        <v>110</v>
      </c>
      <c r="F65" s="56">
        <v>24.56</v>
      </c>
    </row>
    <row r="66" spans="3:6" x14ac:dyDescent="0.25">
      <c r="C66" s="52"/>
      <c r="D66" s="50"/>
      <c r="E66" s="55" t="s">
        <v>111</v>
      </c>
      <c r="F66" s="56">
        <v>22</v>
      </c>
    </row>
    <row r="67" spans="3:6" x14ac:dyDescent="0.25">
      <c r="C67" s="52"/>
      <c r="D67" s="50"/>
      <c r="E67" s="55" t="s">
        <v>112</v>
      </c>
      <c r="F67" s="56">
        <v>12</v>
      </c>
    </row>
    <row r="68" spans="3:6" x14ac:dyDescent="0.25">
      <c r="C68" s="52"/>
      <c r="D68" s="50"/>
      <c r="E68" s="55" t="s">
        <v>113</v>
      </c>
      <c r="F68" s="56">
        <v>18</v>
      </c>
    </row>
    <row r="69" spans="3:6" x14ac:dyDescent="0.25">
      <c r="C69" s="52"/>
      <c r="D69" s="50"/>
      <c r="E69" s="55" t="s">
        <v>114</v>
      </c>
      <c r="F69" s="56">
        <v>23.5</v>
      </c>
    </row>
    <row r="70" spans="3:6" x14ac:dyDescent="0.25">
      <c r="C70" s="52"/>
      <c r="D70" s="50"/>
      <c r="E70" s="55" t="s">
        <v>115</v>
      </c>
      <c r="F70" s="56">
        <v>20</v>
      </c>
    </row>
    <row r="71" spans="3:6" x14ac:dyDescent="0.25">
      <c r="C71" s="52"/>
      <c r="D71" s="50"/>
      <c r="E71" s="55" t="s">
        <v>116</v>
      </c>
      <c r="F71" s="56">
        <v>16.5</v>
      </c>
    </row>
    <row r="72" spans="3:6" x14ac:dyDescent="0.25">
      <c r="C72" s="52"/>
      <c r="D72" s="50"/>
      <c r="E72" s="55" t="s">
        <v>117</v>
      </c>
      <c r="F72" s="56">
        <v>6.67</v>
      </c>
    </row>
    <row r="112" spans="1:10" ht="26.25" x14ac:dyDescent="0.4">
      <c r="A112" s="61" t="s">
        <v>0</v>
      </c>
      <c r="B112" s="62"/>
      <c r="C112" s="62"/>
      <c r="D112" s="62"/>
      <c r="E112" s="63"/>
      <c r="F112" s="62"/>
      <c r="G112" s="62"/>
      <c r="H112" s="62"/>
      <c r="I112" s="62"/>
      <c r="J112" s="63"/>
    </row>
    <row r="115" spans="1:10" ht="18.75" x14ac:dyDescent="0.3">
      <c r="A115" s="14" t="s">
        <v>1</v>
      </c>
      <c r="B115" s="14" t="s">
        <v>2</v>
      </c>
      <c r="C115" s="14" t="s">
        <v>3</v>
      </c>
      <c r="D115" s="14" t="s">
        <v>4</v>
      </c>
      <c r="E115" s="45" t="s">
        <v>35</v>
      </c>
      <c r="F115" s="14" t="s">
        <v>5</v>
      </c>
      <c r="G115" s="14" t="s">
        <v>6</v>
      </c>
      <c r="H115" s="14" t="s">
        <v>7</v>
      </c>
      <c r="I115" s="14" t="s">
        <v>8</v>
      </c>
      <c r="J115" s="45" t="s">
        <v>9</v>
      </c>
    </row>
    <row r="116" spans="1:10" x14ac:dyDescent="0.25">
      <c r="A116" s="13" t="s">
        <v>10</v>
      </c>
      <c r="B116" s="13" t="s">
        <v>11</v>
      </c>
      <c r="C116" s="13">
        <v>40</v>
      </c>
      <c r="D116" s="13">
        <v>700</v>
      </c>
      <c r="E116" s="16">
        <f t="shared" ref="E116:E130" si="5">IF(C116=0,0,D116/C116)</f>
        <v>17.5</v>
      </c>
      <c r="F116" s="13">
        <f>SUMIF('Sales Log'!$B:$B,A116,'Sales Log'!$C:$C)</f>
        <v>13.249999999999998</v>
      </c>
      <c r="G116" s="13">
        <f>C116-F116</f>
        <v>26.75</v>
      </c>
      <c r="H116" s="16">
        <f>E116*G116</f>
        <v>468.125</v>
      </c>
      <c r="I116" s="13"/>
      <c r="J116" s="16"/>
    </row>
    <row r="117" spans="1:10" x14ac:dyDescent="0.25">
      <c r="A117" s="13" t="s">
        <v>12</v>
      </c>
      <c r="B117" s="13" t="s">
        <v>11</v>
      </c>
      <c r="C117" s="13">
        <v>60</v>
      </c>
      <c r="D117" s="13">
        <v>1080</v>
      </c>
      <c r="E117" s="16">
        <f t="shared" si="5"/>
        <v>18</v>
      </c>
      <c r="F117" s="13">
        <f>SUMIF('Sales Log'!$B:$B,A117,'Sales Log'!$C:$C)</f>
        <v>36.239999999999995</v>
      </c>
      <c r="G117" s="13">
        <f t="shared" ref="G117:G130" si="6">C117-F117</f>
        <v>23.760000000000005</v>
      </c>
      <c r="H117" s="16">
        <f t="shared" ref="H117:H130" si="7">E117*G117</f>
        <v>427.68000000000006</v>
      </c>
      <c r="I117" s="13"/>
      <c r="J117" s="16"/>
    </row>
    <row r="118" spans="1:10" x14ac:dyDescent="0.25">
      <c r="A118" s="13" t="s">
        <v>13</v>
      </c>
      <c r="B118" s="13" t="s">
        <v>11</v>
      </c>
      <c r="C118" s="13">
        <v>40</v>
      </c>
      <c r="D118" s="13">
        <v>740</v>
      </c>
      <c r="E118" s="16">
        <f t="shared" si="5"/>
        <v>18.5</v>
      </c>
      <c r="F118" s="13">
        <f>SUMIF('Sales Log'!$B:$B,A118,'Sales Log'!$C:$C)</f>
        <v>77.490000000000009</v>
      </c>
      <c r="G118" s="13">
        <f t="shared" si="6"/>
        <v>-37.490000000000009</v>
      </c>
      <c r="H118" s="16">
        <f t="shared" si="7"/>
        <v>-693.56500000000017</v>
      </c>
      <c r="I118" s="13"/>
      <c r="J118" s="16"/>
    </row>
    <row r="119" spans="1:10" x14ac:dyDescent="0.25">
      <c r="A119" s="13" t="s">
        <v>14</v>
      </c>
      <c r="B119" s="13" t="s">
        <v>11</v>
      </c>
      <c r="C119" s="13">
        <v>23</v>
      </c>
      <c r="D119" s="13">
        <v>460</v>
      </c>
      <c r="E119" s="16">
        <f t="shared" si="5"/>
        <v>20</v>
      </c>
      <c r="F119" s="13">
        <f>SUMIF('Sales Log'!$B:$B,A119,'Sales Log'!$C:$C)</f>
        <v>14.25</v>
      </c>
      <c r="G119" s="13">
        <f t="shared" si="6"/>
        <v>8.75</v>
      </c>
      <c r="H119" s="16">
        <f t="shared" si="7"/>
        <v>175</v>
      </c>
      <c r="I119" s="13"/>
      <c r="J119" s="16"/>
    </row>
    <row r="120" spans="1:10" x14ac:dyDescent="0.25">
      <c r="A120" s="13" t="s">
        <v>15</v>
      </c>
      <c r="B120" s="13" t="s">
        <v>11</v>
      </c>
      <c r="C120" s="13">
        <v>40</v>
      </c>
      <c r="D120" s="13">
        <v>600</v>
      </c>
      <c r="E120" s="16">
        <f t="shared" si="5"/>
        <v>15</v>
      </c>
      <c r="F120" s="13">
        <f>SUMIF('Sales Log'!$B:$B,A120,'Sales Log'!$C:$C)</f>
        <v>57.149999999999991</v>
      </c>
      <c r="G120" s="13">
        <f t="shared" si="6"/>
        <v>-17.149999999999991</v>
      </c>
      <c r="H120" s="16">
        <f t="shared" si="7"/>
        <v>-257.24999999999989</v>
      </c>
      <c r="I120" s="13"/>
      <c r="J120" s="16"/>
    </row>
    <row r="121" spans="1:10" x14ac:dyDescent="0.25">
      <c r="A121" s="13" t="s">
        <v>16</v>
      </c>
      <c r="B121" s="13" t="s">
        <v>11</v>
      </c>
      <c r="C121" s="13">
        <v>20</v>
      </c>
      <c r="D121" s="13">
        <v>320</v>
      </c>
      <c r="E121" s="16">
        <f t="shared" si="5"/>
        <v>16</v>
      </c>
      <c r="F121" s="13">
        <f>SUMIF('Sales Log'!$B:$B,A121,'Sales Log'!$C:$C)</f>
        <v>23.05</v>
      </c>
      <c r="G121" s="13">
        <f t="shared" si="6"/>
        <v>-3.0500000000000007</v>
      </c>
      <c r="H121" s="16">
        <f t="shared" si="7"/>
        <v>-48.800000000000011</v>
      </c>
      <c r="I121" s="13"/>
      <c r="J121" s="16"/>
    </row>
    <row r="122" spans="1:10" x14ac:dyDescent="0.25">
      <c r="A122" s="13" t="s">
        <v>17</v>
      </c>
      <c r="B122" s="13" t="s">
        <v>18</v>
      </c>
      <c r="C122" s="13">
        <v>25</v>
      </c>
      <c r="D122" s="13">
        <v>110</v>
      </c>
      <c r="E122" s="16">
        <f t="shared" si="5"/>
        <v>4.4000000000000004</v>
      </c>
      <c r="F122" s="13">
        <f>SUMIF('Sales Log'!$B:$B,A122,'Sales Log'!$C:$C)</f>
        <v>46</v>
      </c>
      <c r="G122" s="13">
        <f t="shared" si="6"/>
        <v>-21</v>
      </c>
      <c r="H122" s="16">
        <f t="shared" si="7"/>
        <v>-92.4</v>
      </c>
      <c r="I122" s="13"/>
      <c r="J122" s="16"/>
    </row>
    <row r="123" spans="1:10" x14ac:dyDescent="0.25">
      <c r="A123" s="13" t="s">
        <v>19</v>
      </c>
      <c r="B123" s="13" t="s">
        <v>18</v>
      </c>
      <c r="C123" s="13">
        <v>10</v>
      </c>
      <c r="D123" s="13">
        <v>100</v>
      </c>
      <c r="E123" s="16">
        <f t="shared" si="5"/>
        <v>10</v>
      </c>
      <c r="F123" s="13">
        <f>SUMIF('Sales Log'!$B:$B,A123,'Sales Log'!$C:$C)</f>
        <v>10</v>
      </c>
      <c r="G123" s="13">
        <f t="shared" si="6"/>
        <v>0</v>
      </c>
      <c r="H123" s="16">
        <f t="shared" si="7"/>
        <v>0</v>
      </c>
      <c r="I123" s="13"/>
      <c r="J123" s="16"/>
    </row>
    <row r="124" spans="1:10" x14ac:dyDescent="0.25">
      <c r="A124" s="13" t="s">
        <v>20</v>
      </c>
      <c r="B124" s="13" t="s">
        <v>11</v>
      </c>
      <c r="C124" s="13">
        <v>10</v>
      </c>
      <c r="D124" s="13">
        <v>270</v>
      </c>
      <c r="E124" s="16">
        <f t="shared" si="5"/>
        <v>27</v>
      </c>
      <c r="F124" s="13">
        <f>SUMIF('Sales Log'!$B:$B,A124,'Sales Log'!$C:$C)</f>
        <v>15.544999999999998</v>
      </c>
      <c r="G124" s="13">
        <f t="shared" si="6"/>
        <v>-5.5449999999999982</v>
      </c>
      <c r="H124" s="16">
        <f t="shared" si="7"/>
        <v>-149.71499999999995</v>
      </c>
      <c r="I124" s="13"/>
      <c r="J124" s="16"/>
    </row>
    <row r="125" spans="1:10" x14ac:dyDescent="0.25">
      <c r="A125" s="13" t="s">
        <v>21</v>
      </c>
      <c r="B125" s="13" t="s">
        <v>18</v>
      </c>
      <c r="C125" s="13">
        <v>15</v>
      </c>
      <c r="D125" s="13">
        <v>230</v>
      </c>
      <c r="E125" s="16">
        <f t="shared" si="5"/>
        <v>15.333333333333334</v>
      </c>
      <c r="F125" s="13">
        <f>SUMIF('Sales Log'!$B:$B,A125,'Sales Log'!$C:$C)</f>
        <v>15</v>
      </c>
      <c r="G125" s="13">
        <f t="shared" si="6"/>
        <v>0</v>
      </c>
      <c r="H125" s="16">
        <f t="shared" si="7"/>
        <v>0</v>
      </c>
      <c r="I125" s="13"/>
      <c r="J125" s="16"/>
    </row>
    <row r="126" spans="1:10" x14ac:dyDescent="0.25">
      <c r="A126" s="13" t="s">
        <v>22</v>
      </c>
      <c r="B126" s="13" t="s">
        <v>18</v>
      </c>
      <c r="C126" s="13">
        <v>10</v>
      </c>
      <c r="D126" s="13">
        <v>140</v>
      </c>
      <c r="E126" s="16">
        <f t="shared" si="5"/>
        <v>14</v>
      </c>
      <c r="F126" s="13">
        <f>SUMIF('Sales Log'!$B:$B,A126,'Sales Log'!$C:$C)</f>
        <v>10</v>
      </c>
      <c r="G126" s="13">
        <f t="shared" si="6"/>
        <v>0</v>
      </c>
      <c r="H126" s="16">
        <f t="shared" si="7"/>
        <v>0</v>
      </c>
      <c r="I126" s="13"/>
      <c r="J126" s="16"/>
    </row>
    <row r="127" spans="1:10" x14ac:dyDescent="0.25">
      <c r="A127" s="13" t="s">
        <v>23</v>
      </c>
      <c r="B127" s="13" t="s">
        <v>11</v>
      </c>
      <c r="C127" s="13">
        <v>20</v>
      </c>
      <c r="D127" s="13">
        <v>320</v>
      </c>
      <c r="E127" s="16">
        <f t="shared" si="5"/>
        <v>16</v>
      </c>
      <c r="F127" s="13">
        <f>SUMIF('Sales Log'!$B:$B,A127,'Sales Log'!$C:$C)</f>
        <v>16.250000000000004</v>
      </c>
      <c r="G127" s="13">
        <f t="shared" si="6"/>
        <v>3.7499999999999964</v>
      </c>
      <c r="H127" s="16">
        <f t="shared" si="7"/>
        <v>59.999999999999943</v>
      </c>
      <c r="I127" s="13"/>
      <c r="J127" s="16"/>
    </row>
    <row r="128" spans="1:10" x14ac:dyDescent="0.25">
      <c r="A128" s="13" t="s">
        <v>24</v>
      </c>
      <c r="B128" s="13" t="s">
        <v>25</v>
      </c>
      <c r="C128" s="13">
        <v>30</v>
      </c>
      <c r="D128" s="13">
        <v>210</v>
      </c>
      <c r="E128" s="16">
        <f t="shared" si="5"/>
        <v>7</v>
      </c>
      <c r="F128" s="13">
        <f>SUMIF('Sales Log'!$B:$B,A128,'Sales Log'!$C:$C)</f>
        <v>42</v>
      </c>
      <c r="G128" s="13">
        <f t="shared" si="6"/>
        <v>-12</v>
      </c>
      <c r="H128" s="16">
        <f t="shared" si="7"/>
        <v>-84</v>
      </c>
      <c r="I128" s="13"/>
      <c r="J128" s="16"/>
    </row>
    <row r="129" spans="1:10" x14ac:dyDescent="0.25">
      <c r="A129" s="13" t="s">
        <v>26</v>
      </c>
      <c r="B129" s="13" t="s">
        <v>25</v>
      </c>
      <c r="C129" s="13">
        <v>20</v>
      </c>
      <c r="D129" s="13">
        <v>500</v>
      </c>
      <c r="E129" s="16">
        <f t="shared" si="5"/>
        <v>25</v>
      </c>
      <c r="F129" s="13">
        <f>SUMIF('Sales Log'!$B:$B,A129,'Sales Log'!$C:$C)</f>
        <v>42</v>
      </c>
      <c r="G129" s="13">
        <f t="shared" si="6"/>
        <v>-22</v>
      </c>
      <c r="H129" s="16">
        <f t="shared" si="7"/>
        <v>-550</v>
      </c>
      <c r="I129" s="13"/>
      <c r="J129" s="16"/>
    </row>
    <row r="130" spans="1:10" x14ac:dyDescent="0.25">
      <c r="A130" s="13" t="s">
        <v>27</v>
      </c>
      <c r="B130" s="13" t="s">
        <v>18</v>
      </c>
      <c r="C130" s="13">
        <v>20</v>
      </c>
      <c r="D130" s="13">
        <v>420</v>
      </c>
      <c r="E130" s="16">
        <f t="shared" si="5"/>
        <v>21</v>
      </c>
      <c r="F130" s="13">
        <f>SUMIF('Sales Log'!$B:$B,A130,'Sales Log'!$C:$C)</f>
        <v>40</v>
      </c>
      <c r="G130" s="13">
        <f t="shared" si="6"/>
        <v>-20</v>
      </c>
      <c r="H130" s="16">
        <f t="shared" si="7"/>
        <v>-420</v>
      </c>
      <c r="I130" s="13"/>
      <c r="J130" s="16"/>
    </row>
    <row r="131" spans="1:10" x14ac:dyDescent="0.25">
      <c r="A131" s="13"/>
      <c r="B131" s="13"/>
      <c r="C131" s="13"/>
      <c r="D131" s="13"/>
      <c r="E131" s="16"/>
      <c r="F131" s="13"/>
      <c r="G131" s="13"/>
      <c r="H131" s="13"/>
      <c r="I131" s="13"/>
      <c r="J131" s="16"/>
    </row>
    <row r="132" spans="1:10" x14ac:dyDescent="0.25">
      <c r="A132" s="13"/>
      <c r="B132" s="13"/>
      <c r="C132" s="13"/>
      <c r="D132" s="13"/>
      <c r="E132" s="16"/>
      <c r="F132" s="13"/>
      <c r="G132" s="13"/>
      <c r="H132" s="13"/>
      <c r="I132" s="13"/>
      <c r="J132" s="16"/>
    </row>
    <row r="135" spans="1:10" ht="21" x14ac:dyDescent="0.35">
      <c r="C135" s="9" t="s">
        <v>49</v>
      </c>
      <c r="H135" s="9" t="s">
        <v>48</v>
      </c>
    </row>
    <row r="136" spans="1:10" ht="21" x14ac:dyDescent="0.35">
      <c r="C136" s="17">
        <f>SUM(C116:C130)</f>
        <v>383</v>
      </c>
      <c r="H136" s="15">
        <f>SUM(H116:H130)</f>
        <v>-1164.925</v>
      </c>
    </row>
  </sheetData>
  <mergeCells count="2">
    <mergeCell ref="A1:J1"/>
    <mergeCell ref="A112:J112"/>
  </mergeCells>
  <pageMargins left="0.75" right="0.75" top="1" bottom="1" header="0.5" footer="0.5"/>
  <pageSetup scale="3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workbookViewId="0">
      <selection activeCell="B10" sqref="B10"/>
    </sheetView>
  </sheetViews>
  <sheetFormatPr defaultRowHeight="15" x14ac:dyDescent="0.25"/>
  <cols>
    <col min="1" max="1" width="28.42578125" customWidth="1"/>
    <col min="2" max="2" width="20.7109375" customWidth="1"/>
    <col min="3" max="3" width="8" customWidth="1"/>
    <col min="4" max="6" width="15" customWidth="1"/>
  </cols>
  <sheetData>
    <row r="1" spans="1:6" ht="32.1" customHeight="1" x14ac:dyDescent="0.35">
      <c r="A1" s="64" t="s">
        <v>28</v>
      </c>
      <c r="B1" s="65"/>
      <c r="C1" s="65"/>
      <c r="D1" s="65"/>
      <c r="E1" s="65"/>
      <c r="F1" s="65"/>
    </row>
    <row r="3" spans="1:6" ht="23.25" x14ac:dyDescent="0.35">
      <c r="A3" s="18" t="s">
        <v>29</v>
      </c>
      <c r="B3" s="42">
        <v>46264</v>
      </c>
    </row>
    <row r="5" spans="1:6" ht="23.25" x14ac:dyDescent="0.35">
      <c r="A5" s="18" t="s">
        <v>1</v>
      </c>
      <c r="B5" s="18"/>
      <c r="C5" s="18"/>
      <c r="D5" s="18" t="s">
        <v>2</v>
      </c>
      <c r="E5" s="18" t="str">
        <f>IF(B5="","",VLOOKUP(B5,Stock!$A$5:$B$27,2,FALSE))</f>
        <v/>
      </c>
    </row>
    <row r="7" spans="1:6" ht="23.25" x14ac:dyDescent="0.35">
      <c r="A7" s="18" t="s">
        <v>30</v>
      </c>
      <c r="B7" s="18"/>
    </row>
    <row r="9" spans="1:6" ht="23.25" x14ac:dyDescent="0.35">
      <c r="A9" s="18" t="s">
        <v>50</v>
      </c>
      <c r="B9" s="19"/>
    </row>
    <row r="10" spans="1:6" x14ac:dyDescent="0.25">
      <c r="B10" s="33"/>
    </row>
    <row r="11" spans="1:6" ht="23.25" x14ac:dyDescent="0.35">
      <c r="A11" s="18" t="s">
        <v>31</v>
      </c>
      <c r="B11" s="19" t="str">
        <f>IF(OR(B7="",B9="",B7=0),"",B9/B7)</f>
        <v/>
      </c>
    </row>
    <row r="12" spans="1:6" x14ac:dyDescent="0.25">
      <c r="B12" s="33"/>
    </row>
    <row r="13" spans="1:6" ht="23.25" x14ac:dyDescent="0.35">
      <c r="A13" s="18" t="s">
        <v>33</v>
      </c>
      <c r="B13" s="19" t="str">
        <f>IF(OR(B5="",B7="",B9="",B7=0),"",(B11-VLOOKUP(B5,Stock!$A$5:$E$27,5,FALSE))*B7)</f>
        <v/>
      </c>
    </row>
  </sheetData>
  <mergeCells count="1">
    <mergeCell ref="A1:F1"/>
  </mergeCells>
  <pageMargins left="0.75" right="0.75" top="1" bottom="1" header="0.5" footer="0.5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0]!AddSale">
                <anchor moveWithCells="1" sizeWithCells="1">
                  <from>
                    <xdr:col>0</xdr:col>
                    <xdr:colOff>1514475</xdr:colOff>
                    <xdr:row>14</xdr:row>
                    <xdr:rowOff>85725</xdr:rowOff>
                  </from>
                  <to>
                    <xdr:col>2</xdr:col>
                    <xdr:colOff>285750</xdr:colOff>
                    <xdr:row>16</xdr:row>
                    <xdr:rowOff>180975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Stock!$A$5:$A$29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H445"/>
  <sheetViews>
    <sheetView showGridLines="0" topLeftCell="A274" zoomScale="85" zoomScaleNormal="85" workbookViewId="0">
      <pane xSplit="1" topLeftCell="B1" activePane="topRight" state="frozen"/>
      <selection pane="topRight" activeCell="L295" sqref="L295"/>
    </sheetView>
  </sheetViews>
  <sheetFormatPr defaultRowHeight="15" x14ac:dyDescent="0.25"/>
  <cols>
    <col min="1" max="1" width="18.7109375" style="5" customWidth="1"/>
    <col min="2" max="2" width="24" style="5" customWidth="1"/>
    <col min="3" max="3" width="15" style="5" customWidth="1"/>
    <col min="4" max="5" width="22" style="5" customWidth="1"/>
    <col min="6" max="6" width="18" style="5" customWidth="1"/>
    <col min="7" max="7" width="20" style="5" customWidth="1"/>
    <col min="8" max="8" width="12" style="5" customWidth="1"/>
    <col min="9" max="16384" width="9.140625" style="3"/>
  </cols>
  <sheetData>
    <row r="1" spans="1:8" ht="29.25" customHeight="1" x14ac:dyDescent="0.35">
      <c r="A1" s="66" t="s">
        <v>34</v>
      </c>
      <c r="B1" s="67"/>
      <c r="C1" s="67"/>
      <c r="D1" s="67"/>
      <c r="E1" s="67"/>
      <c r="F1" s="67"/>
      <c r="G1" s="67"/>
      <c r="H1" s="67"/>
    </row>
    <row r="2" spans="1:8" ht="20.25" customHeight="1" x14ac:dyDescent="0.25">
      <c r="A2" s="32" t="s">
        <v>29</v>
      </c>
      <c r="B2" s="32" t="s">
        <v>1</v>
      </c>
      <c r="C2" s="32" t="s">
        <v>30</v>
      </c>
      <c r="D2" s="32" t="s">
        <v>31</v>
      </c>
      <c r="E2" s="32" t="s">
        <v>35</v>
      </c>
      <c r="F2" s="32" t="s">
        <v>32</v>
      </c>
      <c r="G2" s="32" t="s">
        <v>33</v>
      </c>
      <c r="H2" s="32" t="s">
        <v>2</v>
      </c>
    </row>
    <row r="3" spans="1:8" x14ac:dyDescent="0.25">
      <c r="A3" s="24">
        <v>46246</v>
      </c>
      <c r="B3" s="23" t="s">
        <v>20</v>
      </c>
      <c r="C3" s="23">
        <v>0.37</v>
      </c>
      <c r="D3" s="23">
        <v>27.027027027027028</v>
      </c>
      <c r="E3" s="23">
        <v>27</v>
      </c>
      <c r="F3" s="23">
        <v>10</v>
      </c>
      <c r="G3" s="23">
        <v>1.0000000000000391E-2</v>
      </c>
      <c r="H3" s="23" t="s">
        <v>11</v>
      </c>
    </row>
    <row r="4" spans="1:8" x14ac:dyDescent="0.25">
      <c r="A4" s="24">
        <v>46246</v>
      </c>
      <c r="B4" s="23" t="s">
        <v>27</v>
      </c>
      <c r="C4" s="23">
        <v>2</v>
      </c>
      <c r="D4" s="23">
        <v>23</v>
      </c>
      <c r="E4" s="23">
        <v>21</v>
      </c>
      <c r="F4" s="23">
        <v>46</v>
      </c>
      <c r="G4" s="23">
        <v>4</v>
      </c>
      <c r="H4" s="23" t="s">
        <v>18</v>
      </c>
    </row>
    <row r="5" spans="1:8" x14ac:dyDescent="0.25">
      <c r="A5" s="24">
        <v>46246</v>
      </c>
      <c r="B5" s="23" t="s">
        <v>24</v>
      </c>
      <c r="C5" s="25">
        <v>2</v>
      </c>
      <c r="D5" s="25">
        <v>10</v>
      </c>
      <c r="E5" s="25">
        <v>7</v>
      </c>
      <c r="F5" s="25">
        <v>20</v>
      </c>
      <c r="G5" s="25">
        <v>6</v>
      </c>
      <c r="H5" s="23" t="s">
        <v>25</v>
      </c>
    </row>
    <row r="6" spans="1:8" x14ac:dyDescent="0.25">
      <c r="A6" s="24">
        <v>46246</v>
      </c>
      <c r="B6" s="23" t="s">
        <v>22</v>
      </c>
      <c r="C6" s="25">
        <v>2</v>
      </c>
      <c r="D6" s="25">
        <v>14</v>
      </c>
      <c r="E6" s="25">
        <v>14</v>
      </c>
      <c r="F6" s="25">
        <v>28</v>
      </c>
      <c r="G6" s="25">
        <v>0</v>
      </c>
      <c r="H6" s="23" t="s">
        <v>18</v>
      </c>
    </row>
    <row r="7" spans="1:8" x14ac:dyDescent="0.25">
      <c r="A7" s="24">
        <v>46246</v>
      </c>
      <c r="B7" s="23" t="s">
        <v>20</v>
      </c>
      <c r="C7" s="25">
        <v>0.52</v>
      </c>
      <c r="D7" s="25">
        <v>28.846153846153847</v>
      </c>
      <c r="E7" s="25">
        <v>27</v>
      </c>
      <c r="F7" s="25">
        <v>15</v>
      </c>
      <c r="G7" s="25">
        <v>0.9600000000000003</v>
      </c>
      <c r="H7" s="23" t="s">
        <v>11</v>
      </c>
    </row>
    <row r="8" spans="1:8" x14ac:dyDescent="0.25">
      <c r="A8" s="24">
        <v>46246</v>
      </c>
      <c r="B8" s="23" t="s">
        <v>21</v>
      </c>
      <c r="C8" s="25">
        <v>1</v>
      </c>
      <c r="D8" s="25">
        <v>16</v>
      </c>
      <c r="E8" s="25">
        <v>15.333333333333334</v>
      </c>
      <c r="F8" s="25">
        <v>16</v>
      </c>
      <c r="G8" s="25">
        <v>0.66666666666666607</v>
      </c>
      <c r="H8" s="23" t="s">
        <v>18</v>
      </c>
    </row>
    <row r="9" spans="1:8" x14ac:dyDescent="0.25">
      <c r="A9" s="24">
        <v>46246</v>
      </c>
      <c r="B9" s="23" t="s">
        <v>20</v>
      </c>
      <c r="C9" s="25">
        <v>0.38</v>
      </c>
      <c r="D9" s="25">
        <v>28.94736842105263</v>
      </c>
      <c r="E9" s="25">
        <v>27</v>
      </c>
      <c r="F9" s="25">
        <v>11</v>
      </c>
      <c r="G9" s="25">
        <v>0.73999999999999944</v>
      </c>
      <c r="H9" s="23" t="s">
        <v>11</v>
      </c>
    </row>
    <row r="10" spans="1:8" x14ac:dyDescent="0.25">
      <c r="A10" s="24">
        <v>46246</v>
      </c>
      <c r="B10" s="23" t="s">
        <v>13</v>
      </c>
      <c r="C10" s="25">
        <v>2.71</v>
      </c>
      <c r="D10" s="25">
        <v>21.033210332103323</v>
      </c>
      <c r="E10" s="25">
        <v>18.5</v>
      </c>
      <c r="F10" s="25">
        <v>57</v>
      </c>
      <c r="G10" s="25">
        <v>6.8650000000000055</v>
      </c>
      <c r="H10" s="23" t="s">
        <v>11</v>
      </c>
    </row>
    <row r="11" spans="1:8" x14ac:dyDescent="0.25">
      <c r="A11" s="24">
        <v>46246</v>
      </c>
      <c r="B11" s="23" t="s">
        <v>20</v>
      </c>
      <c r="C11" s="25">
        <v>0.51</v>
      </c>
      <c r="D11" s="25">
        <v>29.411764705882351</v>
      </c>
      <c r="E11" s="25">
        <v>27</v>
      </c>
      <c r="F11" s="25">
        <v>15</v>
      </c>
      <c r="G11" s="25">
        <v>1.2299999999999993</v>
      </c>
      <c r="H11" s="23" t="s">
        <v>11</v>
      </c>
    </row>
    <row r="12" spans="1:8" x14ac:dyDescent="0.25">
      <c r="A12" s="24">
        <v>46246</v>
      </c>
      <c r="B12" s="23" t="s">
        <v>23</v>
      </c>
      <c r="C12" s="25">
        <v>1</v>
      </c>
      <c r="D12" s="25">
        <v>16</v>
      </c>
      <c r="E12" s="25">
        <v>16</v>
      </c>
      <c r="F12" s="25">
        <v>16</v>
      </c>
      <c r="G12" s="25">
        <v>0</v>
      </c>
      <c r="H12" s="23" t="s">
        <v>11</v>
      </c>
    </row>
    <row r="13" spans="1:8" x14ac:dyDescent="0.25">
      <c r="A13" s="24">
        <v>46246</v>
      </c>
      <c r="B13" s="23" t="s">
        <v>10</v>
      </c>
      <c r="C13" s="25">
        <v>1.1299999999999999</v>
      </c>
      <c r="D13" s="25">
        <v>20.353982300884958</v>
      </c>
      <c r="E13" s="25">
        <v>17.5</v>
      </c>
      <c r="F13" s="25">
        <v>23</v>
      </c>
      <c r="G13" s="25">
        <v>3.2250000000000023</v>
      </c>
      <c r="H13" s="23" t="s">
        <v>11</v>
      </c>
    </row>
    <row r="14" spans="1:8" x14ac:dyDescent="0.25">
      <c r="A14" s="24">
        <v>46246</v>
      </c>
      <c r="B14" s="23" t="s">
        <v>16</v>
      </c>
      <c r="C14" s="25">
        <v>2.7</v>
      </c>
      <c r="D14" s="25">
        <v>17.037037037037035</v>
      </c>
      <c r="E14" s="25">
        <v>16</v>
      </c>
      <c r="F14" s="25">
        <v>46</v>
      </c>
      <c r="G14" s="25">
        <v>2.7999999999999936</v>
      </c>
      <c r="H14" s="23" t="s">
        <v>11</v>
      </c>
    </row>
    <row r="15" spans="1:8" x14ac:dyDescent="0.25">
      <c r="A15" s="24">
        <v>46246</v>
      </c>
      <c r="B15" s="23" t="s">
        <v>14</v>
      </c>
      <c r="C15" s="25">
        <v>4.4800000000000004</v>
      </c>
      <c r="D15" s="25">
        <v>20.982142857142854</v>
      </c>
      <c r="E15" s="25">
        <v>20</v>
      </c>
      <c r="F15" s="25">
        <v>94</v>
      </c>
      <c r="G15" s="25">
        <v>4.399999999999987</v>
      </c>
      <c r="H15" s="23" t="s">
        <v>11</v>
      </c>
    </row>
    <row r="16" spans="1:8" x14ac:dyDescent="0.25">
      <c r="A16" s="24">
        <v>46246</v>
      </c>
      <c r="B16" s="23" t="s">
        <v>26</v>
      </c>
      <c r="C16" s="25">
        <v>1</v>
      </c>
      <c r="D16" s="25">
        <v>29</v>
      </c>
      <c r="E16" s="25">
        <v>25</v>
      </c>
      <c r="F16" s="25">
        <v>29</v>
      </c>
      <c r="G16" s="25">
        <v>4</v>
      </c>
      <c r="H16" s="23" t="s">
        <v>25</v>
      </c>
    </row>
    <row r="17" spans="1:8" x14ac:dyDescent="0.25">
      <c r="A17" s="24">
        <v>46246</v>
      </c>
      <c r="B17" s="23" t="s">
        <v>13</v>
      </c>
      <c r="C17" s="25">
        <v>2.77</v>
      </c>
      <c r="D17" s="25">
        <v>19.855595667870038</v>
      </c>
      <c r="E17" s="25">
        <v>18.5</v>
      </c>
      <c r="F17" s="25">
        <v>55</v>
      </c>
      <c r="G17" s="25">
        <v>3.7550000000000043</v>
      </c>
      <c r="H17" s="23" t="s">
        <v>11</v>
      </c>
    </row>
    <row r="18" spans="1:8" x14ac:dyDescent="0.25">
      <c r="A18" s="24">
        <v>46246</v>
      </c>
      <c r="B18" s="23" t="s">
        <v>24</v>
      </c>
      <c r="C18" s="25">
        <v>1</v>
      </c>
      <c r="D18" s="25">
        <v>10</v>
      </c>
      <c r="E18" s="25">
        <v>7</v>
      </c>
      <c r="F18" s="25">
        <v>10</v>
      </c>
      <c r="G18" s="25">
        <v>3</v>
      </c>
      <c r="H18" s="23" t="s">
        <v>25</v>
      </c>
    </row>
    <row r="19" spans="1:8" x14ac:dyDescent="0.25">
      <c r="A19" s="24">
        <v>46246</v>
      </c>
      <c r="B19" s="23" t="s">
        <v>26</v>
      </c>
      <c r="C19" s="25">
        <v>1</v>
      </c>
      <c r="D19" s="25">
        <v>28</v>
      </c>
      <c r="E19" s="25">
        <v>25</v>
      </c>
      <c r="F19" s="25">
        <v>28</v>
      </c>
      <c r="G19" s="25">
        <v>3</v>
      </c>
      <c r="H19" s="23" t="s">
        <v>25</v>
      </c>
    </row>
    <row r="20" spans="1:8" x14ac:dyDescent="0.25">
      <c r="A20" s="24">
        <v>46246</v>
      </c>
      <c r="B20" s="23" t="s">
        <v>15</v>
      </c>
      <c r="C20" s="25">
        <v>2</v>
      </c>
      <c r="D20" s="25">
        <v>16</v>
      </c>
      <c r="E20" s="25">
        <v>15</v>
      </c>
      <c r="F20" s="25">
        <v>32</v>
      </c>
      <c r="G20" s="25">
        <v>2</v>
      </c>
      <c r="H20" s="23" t="s">
        <v>11</v>
      </c>
    </row>
    <row r="21" spans="1:8" x14ac:dyDescent="0.25">
      <c r="A21" s="24">
        <v>46246</v>
      </c>
      <c r="B21" s="23" t="s">
        <v>24</v>
      </c>
      <c r="C21" s="25">
        <v>2</v>
      </c>
      <c r="D21" s="25">
        <v>9</v>
      </c>
      <c r="E21" s="25">
        <v>7</v>
      </c>
      <c r="F21" s="25">
        <v>18</v>
      </c>
      <c r="G21" s="25">
        <v>4</v>
      </c>
      <c r="H21" s="23" t="s">
        <v>25</v>
      </c>
    </row>
    <row r="22" spans="1:8" x14ac:dyDescent="0.25">
      <c r="A22" s="24">
        <v>46246</v>
      </c>
      <c r="B22" s="23" t="s">
        <v>26</v>
      </c>
      <c r="C22" s="25">
        <v>2</v>
      </c>
      <c r="D22" s="25">
        <v>26</v>
      </c>
      <c r="E22" s="25">
        <v>25</v>
      </c>
      <c r="F22" s="25">
        <v>52</v>
      </c>
      <c r="G22" s="25">
        <v>2</v>
      </c>
      <c r="H22" s="23" t="s">
        <v>25</v>
      </c>
    </row>
    <row r="23" spans="1:8" x14ac:dyDescent="0.25">
      <c r="A23" s="24">
        <v>46246</v>
      </c>
      <c r="B23" s="23" t="s">
        <v>27</v>
      </c>
      <c r="C23" s="25">
        <v>2</v>
      </c>
      <c r="D23" s="25">
        <v>22</v>
      </c>
      <c r="E23" s="25">
        <v>21</v>
      </c>
      <c r="F23" s="25">
        <v>44</v>
      </c>
      <c r="G23" s="25">
        <v>2</v>
      </c>
      <c r="H23" s="23" t="s">
        <v>18</v>
      </c>
    </row>
    <row r="24" spans="1:8" x14ac:dyDescent="0.25">
      <c r="A24" s="24">
        <v>46246</v>
      </c>
      <c r="B24" s="23" t="s">
        <v>17</v>
      </c>
      <c r="C24" s="25">
        <v>3</v>
      </c>
      <c r="D24" s="25">
        <v>5.666666666666667</v>
      </c>
      <c r="E24" s="25">
        <v>4.4000000000000004</v>
      </c>
      <c r="F24" s="25">
        <v>17</v>
      </c>
      <c r="G24" s="25">
        <v>3.8</v>
      </c>
      <c r="H24" s="23" t="s">
        <v>18</v>
      </c>
    </row>
    <row r="25" spans="1:8" x14ac:dyDescent="0.25">
      <c r="A25" s="24">
        <v>46246</v>
      </c>
      <c r="B25" s="23" t="s">
        <v>19</v>
      </c>
      <c r="C25" s="25">
        <v>2</v>
      </c>
      <c r="D25" s="25">
        <v>11</v>
      </c>
      <c r="E25" s="25">
        <v>10</v>
      </c>
      <c r="F25" s="25">
        <v>22</v>
      </c>
      <c r="G25" s="25">
        <v>2</v>
      </c>
      <c r="H25" s="23" t="s">
        <v>18</v>
      </c>
    </row>
    <row r="26" spans="1:8" x14ac:dyDescent="0.25">
      <c r="A26" s="24">
        <v>46246</v>
      </c>
      <c r="B26" s="23" t="s">
        <v>22</v>
      </c>
      <c r="C26" s="25">
        <v>1</v>
      </c>
      <c r="D26" s="25">
        <v>15</v>
      </c>
      <c r="E26" s="25">
        <v>14</v>
      </c>
      <c r="F26" s="25">
        <v>15</v>
      </c>
      <c r="G26" s="25">
        <v>1</v>
      </c>
      <c r="H26" s="23" t="s">
        <v>18</v>
      </c>
    </row>
    <row r="27" spans="1:8" x14ac:dyDescent="0.25">
      <c r="A27" s="24">
        <v>46246</v>
      </c>
      <c r="B27" s="23" t="s">
        <v>12</v>
      </c>
      <c r="C27" s="25">
        <v>1.99</v>
      </c>
      <c r="D27" s="25">
        <v>18.592964824120603</v>
      </c>
      <c r="E27" s="25">
        <v>18</v>
      </c>
      <c r="F27" s="25">
        <v>37</v>
      </c>
      <c r="G27" s="25">
        <v>1.1800000000000002</v>
      </c>
      <c r="H27" s="23" t="s">
        <v>11</v>
      </c>
    </row>
    <row r="28" spans="1:8" x14ac:dyDescent="0.25">
      <c r="A28" s="26">
        <v>46247</v>
      </c>
      <c r="B28" s="27" t="s">
        <v>10</v>
      </c>
      <c r="C28" s="28">
        <v>1.04</v>
      </c>
      <c r="D28" s="28">
        <v>18.26923076923077</v>
      </c>
      <c r="E28" s="28">
        <v>17.5</v>
      </c>
      <c r="F28" s="28">
        <v>19</v>
      </c>
      <c r="G28" s="28">
        <v>0.80000000000000093</v>
      </c>
      <c r="H28" s="27" t="s">
        <v>11</v>
      </c>
    </row>
    <row r="29" spans="1:8" x14ac:dyDescent="0.25">
      <c r="A29" s="26">
        <v>46247</v>
      </c>
      <c r="B29" s="27" t="s">
        <v>24</v>
      </c>
      <c r="C29" s="28">
        <v>3</v>
      </c>
      <c r="D29" s="28">
        <v>8.6666666666666661</v>
      </c>
      <c r="E29" s="28">
        <v>7</v>
      </c>
      <c r="F29" s="28">
        <v>26</v>
      </c>
      <c r="G29" s="28">
        <v>4.9999999999999982</v>
      </c>
      <c r="H29" s="27" t="s">
        <v>25</v>
      </c>
    </row>
    <row r="30" spans="1:8" x14ac:dyDescent="0.25">
      <c r="A30" s="26">
        <v>46247</v>
      </c>
      <c r="B30" s="27" t="s">
        <v>26</v>
      </c>
      <c r="C30" s="28">
        <v>1</v>
      </c>
      <c r="D30" s="28">
        <v>28</v>
      </c>
      <c r="E30" s="28">
        <v>25</v>
      </c>
      <c r="F30" s="28">
        <v>28</v>
      </c>
      <c r="G30" s="28">
        <v>3</v>
      </c>
      <c r="H30" s="27" t="s">
        <v>25</v>
      </c>
    </row>
    <row r="31" spans="1:8" x14ac:dyDescent="0.25">
      <c r="A31" s="26">
        <v>46247</v>
      </c>
      <c r="B31" s="27" t="s">
        <v>15</v>
      </c>
      <c r="C31" s="28">
        <v>2.02</v>
      </c>
      <c r="D31" s="28">
        <v>15.841584158415841</v>
      </c>
      <c r="E31" s="28">
        <v>15</v>
      </c>
      <c r="F31" s="28">
        <v>32</v>
      </c>
      <c r="G31" s="28">
        <v>1.6999999999999997</v>
      </c>
      <c r="H31" s="27" t="s">
        <v>11</v>
      </c>
    </row>
    <row r="32" spans="1:8" x14ac:dyDescent="0.25">
      <c r="A32" s="26">
        <v>46247</v>
      </c>
      <c r="B32" s="27" t="s">
        <v>20</v>
      </c>
      <c r="C32" s="28">
        <v>0.45500000000000002</v>
      </c>
      <c r="D32" s="28">
        <v>28.571428571428569</v>
      </c>
      <c r="E32" s="28">
        <v>27</v>
      </c>
      <c r="F32" s="28">
        <v>13</v>
      </c>
      <c r="G32" s="28">
        <v>0.71499999999999908</v>
      </c>
      <c r="H32" s="27" t="s">
        <v>11</v>
      </c>
    </row>
    <row r="33" spans="1:8" x14ac:dyDescent="0.25">
      <c r="A33" s="26">
        <v>46247</v>
      </c>
      <c r="B33" s="27" t="s">
        <v>15</v>
      </c>
      <c r="C33" s="28">
        <v>1.87</v>
      </c>
      <c r="D33" s="28">
        <v>16.042780748663102</v>
      </c>
      <c r="E33" s="28">
        <v>15</v>
      </c>
      <c r="F33" s="28">
        <v>30</v>
      </c>
      <c r="G33" s="28">
        <v>1.9500000000000004</v>
      </c>
      <c r="H33" s="27" t="s">
        <v>11</v>
      </c>
    </row>
    <row r="34" spans="1:8" x14ac:dyDescent="0.25">
      <c r="A34" s="26">
        <v>46247</v>
      </c>
      <c r="B34" s="27" t="s">
        <v>20</v>
      </c>
      <c r="C34" s="28">
        <v>0.47</v>
      </c>
      <c r="D34" s="28">
        <v>29.787234042553195</v>
      </c>
      <c r="E34" s="28">
        <v>27</v>
      </c>
      <c r="F34" s="28">
        <v>14</v>
      </c>
      <c r="G34" s="28">
        <v>1.3100000000000014</v>
      </c>
      <c r="H34" s="27" t="s">
        <v>11</v>
      </c>
    </row>
    <row r="35" spans="1:8" x14ac:dyDescent="0.25">
      <c r="A35" s="26">
        <v>46247</v>
      </c>
      <c r="B35" s="27" t="s">
        <v>15</v>
      </c>
      <c r="C35" s="28">
        <v>3.15</v>
      </c>
      <c r="D35" s="28">
        <v>16.50793650793651</v>
      </c>
      <c r="E35" s="28">
        <v>15</v>
      </c>
      <c r="F35" s="28">
        <v>52</v>
      </c>
      <c r="G35" s="28">
        <v>4.7500000000000053</v>
      </c>
      <c r="H35" s="27" t="s">
        <v>11</v>
      </c>
    </row>
    <row r="36" spans="1:8" x14ac:dyDescent="0.25">
      <c r="A36" s="26">
        <v>46247</v>
      </c>
      <c r="B36" s="27" t="s">
        <v>12</v>
      </c>
      <c r="C36" s="28">
        <v>1.82</v>
      </c>
      <c r="D36" s="28">
        <v>18.681318681318682</v>
      </c>
      <c r="E36" s="28">
        <v>18</v>
      </c>
      <c r="F36" s="28">
        <v>34</v>
      </c>
      <c r="G36" s="28">
        <v>1.2400000000000022</v>
      </c>
      <c r="H36" s="27" t="s">
        <v>11</v>
      </c>
    </row>
    <row r="37" spans="1:8" x14ac:dyDescent="0.25">
      <c r="A37" s="26">
        <v>46247</v>
      </c>
      <c r="B37" s="27" t="s">
        <v>15</v>
      </c>
      <c r="C37" s="28">
        <v>1.68</v>
      </c>
      <c r="D37" s="28">
        <v>16.071428571428573</v>
      </c>
      <c r="E37" s="28">
        <v>15</v>
      </c>
      <c r="F37" s="28">
        <v>27</v>
      </c>
      <c r="G37" s="28">
        <v>1.8000000000000025</v>
      </c>
      <c r="H37" s="27" t="s">
        <v>11</v>
      </c>
    </row>
    <row r="38" spans="1:8" x14ac:dyDescent="0.25">
      <c r="A38" s="26">
        <v>46247</v>
      </c>
      <c r="B38" s="27" t="s">
        <v>24</v>
      </c>
      <c r="C38" s="28">
        <v>2</v>
      </c>
      <c r="D38" s="28">
        <v>9</v>
      </c>
      <c r="E38" s="28">
        <v>7</v>
      </c>
      <c r="F38" s="28">
        <v>18</v>
      </c>
      <c r="G38" s="28">
        <v>4</v>
      </c>
      <c r="H38" s="27" t="s">
        <v>25</v>
      </c>
    </row>
    <row r="39" spans="1:8" x14ac:dyDescent="0.25">
      <c r="A39" s="26">
        <v>46247</v>
      </c>
      <c r="B39" s="27" t="s">
        <v>13</v>
      </c>
      <c r="C39" s="28">
        <v>2.2999999999999998</v>
      </c>
      <c r="D39" s="28">
        <v>19.565217391304348</v>
      </c>
      <c r="E39" s="28">
        <v>18.5</v>
      </c>
      <c r="F39" s="28">
        <v>45</v>
      </c>
      <c r="G39" s="28">
        <v>2.4499999999999993</v>
      </c>
      <c r="H39" s="27" t="s">
        <v>11</v>
      </c>
    </row>
    <row r="40" spans="1:8" x14ac:dyDescent="0.25">
      <c r="A40" s="26">
        <v>46247</v>
      </c>
      <c r="B40" s="27" t="s">
        <v>15</v>
      </c>
      <c r="C40" s="28">
        <v>1.95</v>
      </c>
      <c r="D40" s="28">
        <v>16.923076923076923</v>
      </c>
      <c r="E40" s="28">
        <v>15</v>
      </c>
      <c r="F40" s="28">
        <v>33</v>
      </c>
      <c r="G40" s="28">
        <v>3.7500000000000004</v>
      </c>
      <c r="H40" s="27" t="s">
        <v>11</v>
      </c>
    </row>
    <row r="41" spans="1:8" x14ac:dyDescent="0.25">
      <c r="A41" s="26">
        <v>46247</v>
      </c>
      <c r="B41" s="27" t="s">
        <v>26</v>
      </c>
      <c r="C41" s="28">
        <v>1</v>
      </c>
      <c r="D41" s="28">
        <v>28</v>
      </c>
      <c r="E41" s="28">
        <v>25</v>
      </c>
      <c r="F41" s="28">
        <v>28</v>
      </c>
      <c r="G41" s="28">
        <v>3</v>
      </c>
      <c r="H41" s="27" t="s">
        <v>25</v>
      </c>
    </row>
    <row r="42" spans="1:8" x14ac:dyDescent="0.25">
      <c r="A42" s="26">
        <v>46247</v>
      </c>
      <c r="B42" s="27" t="s">
        <v>26</v>
      </c>
      <c r="C42" s="28">
        <v>1</v>
      </c>
      <c r="D42" s="28">
        <v>28</v>
      </c>
      <c r="E42" s="28">
        <v>25</v>
      </c>
      <c r="F42" s="28">
        <v>28</v>
      </c>
      <c r="G42" s="28">
        <v>3</v>
      </c>
      <c r="H42" s="27" t="s">
        <v>25</v>
      </c>
    </row>
    <row r="43" spans="1:8" x14ac:dyDescent="0.25">
      <c r="A43" s="26">
        <v>46247</v>
      </c>
      <c r="B43" s="27" t="s">
        <v>27</v>
      </c>
      <c r="C43" s="28">
        <v>3</v>
      </c>
      <c r="D43" s="28">
        <v>22</v>
      </c>
      <c r="E43" s="28">
        <v>21</v>
      </c>
      <c r="F43" s="28">
        <v>66</v>
      </c>
      <c r="G43" s="28">
        <v>3</v>
      </c>
      <c r="H43" s="27" t="s">
        <v>18</v>
      </c>
    </row>
    <row r="44" spans="1:8" x14ac:dyDescent="0.25">
      <c r="A44" s="26">
        <v>46247</v>
      </c>
      <c r="B44" s="27" t="s">
        <v>26</v>
      </c>
      <c r="C44" s="28">
        <v>1</v>
      </c>
      <c r="D44" s="28">
        <v>26</v>
      </c>
      <c r="E44" s="28">
        <v>25</v>
      </c>
      <c r="F44" s="28">
        <v>26</v>
      </c>
      <c r="G44" s="28">
        <v>1</v>
      </c>
      <c r="H44" s="27" t="s">
        <v>25</v>
      </c>
    </row>
    <row r="45" spans="1:8" x14ac:dyDescent="0.25">
      <c r="A45" s="26">
        <v>46247</v>
      </c>
      <c r="B45" s="27" t="s">
        <v>22</v>
      </c>
      <c r="C45" s="28">
        <v>1</v>
      </c>
      <c r="D45" s="28">
        <v>15</v>
      </c>
      <c r="E45" s="28">
        <v>14</v>
      </c>
      <c r="F45" s="28">
        <v>15</v>
      </c>
      <c r="G45" s="28">
        <v>1</v>
      </c>
      <c r="H45" s="27" t="s">
        <v>18</v>
      </c>
    </row>
    <row r="46" spans="1:8" x14ac:dyDescent="0.25">
      <c r="A46" s="26">
        <v>46247</v>
      </c>
      <c r="B46" s="27" t="s">
        <v>23</v>
      </c>
      <c r="C46" s="28">
        <v>1.77</v>
      </c>
      <c r="D46" s="28">
        <v>16.949152542372882</v>
      </c>
      <c r="E46" s="28">
        <v>16</v>
      </c>
      <c r="F46" s="28">
        <v>30</v>
      </c>
      <c r="G46" s="28">
        <v>1.6800000000000019</v>
      </c>
      <c r="H46" s="27" t="s">
        <v>11</v>
      </c>
    </row>
    <row r="47" spans="1:8" x14ac:dyDescent="0.25">
      <c r="A47" s="29">
        <v>46248</v>
      </c>
      <c r="B47" s="30" t="s">
        <v>24</v>
      </c>
      <c r="C47" s="31">
        <v>1</v>
      </c>
      <c r="D47" s="31">
        <v>9</v>
      </c>
      <c r="E47" s="31">
        <v>7</v>
      </c>
      <c r="F47" s="31">
        <v>9</v>
      </c>
      <c r="G47" s="31">
        <v>2</v>
      </c>
      <c r="H47" s="30" t="s">
        <v>25</v>
      </c>
    </row>
    <row r="48" spans="1:8" x14ac:dyDescent="0.25">
      <c r="A48" s="29">
        <v>46248</v>
      </c>
      <c r="B48" s="30" t="s">
        <v>24</v>
      </c>
      <c r="C48" s="31">
        <v>1</v>
      </c>
      <c r="D48" s="31">
        <v>9</v>
      </c>
      <c r="E48" s="31">
        <v>7</v>
      </c>
      <c r="F48" s="31">
        <v>9</v>
      </c>
      <c r="G48" s="31">
        <v>2</v>
      </c>
      <c r="H48" s="30" t="s">
        <v>25</v>
      </c>
    </row>
    <row r="49" spans="1:8" x14ac:dyDescent="0.25">
      <c r="A49" s="29">
        <v>46248</v>
      </c>
      <c r="B49" s="30" t="s">
        <v>15</v>
      </c>
      <c r="C49" s="31">
        <v>3.83</v>
      </c>
      <c r="D49" s="31">
        <v>16.971279373368144</v>
      </c>
      <c r="E49" s="31">
        <v>15</v>
      </c>
      <c r="F49" s="31">
        <v>65</v>
      </c>
      <c r="G49" s="31">
        <v>7.5499999999999936</v>
      </c>
      <c r="H49" s="30" t="s">
        <v>11</v>
      </c>
    </row>
    <row r="50" spans="1:8" x14ac:dyDescent="0.25">
      <c r="A50" s="29">
        <v>46248</v>
      </c>
      <c r="B50" s="30" t="s">
        <v>24</v>
      </c>
      <c r="C50" s="31">
        <v>1</v>
      </c>
      <c r="D50" s="31">
        <v>10</v>
      </c>
      <c r="E50" s="31">
        <v>7</v>
      </c>
      <c r="F50" s="31">
        <v>10</v>
      </c>
      <c r="G50" s="31">
        <v>3</v>
      </c>
      <c r="H50" s="30" t="s">
        <v>25</v>
      </c>
    </row>
    <row r="51" spans="1:8" x14ac:dyDescent="0.25">
      <c r="A51" s="29">
        <v>46248</v>
      </c>
      <c r="B51" s="30" t="s">
        <v>15</v>
      </c>
      <c r="C51" s="31">
        <v>2.0499999999999998</v>
      </c>
      <c r="D51" s="31">
        <v>16.585365853658537</v>
      </c>
      <c r="E51" s="31">
        <v>15</v>
      </c>
      <c r="F51" s="31">
        <v>34</v>
      </c>
      <c r="G51" s="31">
        <v>3.2500000000000009</v>
      </c>
      <c r="H51" s="30" t="s">
        <v>11</v>
      </c>
    </row>
    <row r="52" spans="1:8" x14ac:dyDescent="0.25">
      <c r="A52" s="29">
        <v>46248</v>
      </c>
      <c r="B52" s="30" t="s">
        <v>24</v>
      </c>
      <c r="C52" s="31">
        <v>1</v>
      </c>
      <c r="D52" s="31">
        <v>10</v>
      </c>
      <c r="E52" s="31">
        <v>7</v>
      </c>
      <c r="F52" s="31">
        <v>10</v>
      </c>
      <c r="G52" s="31">
        <v>3</v>
      </c>
      <c r="H52" s="30" t="s">
        <v>25</v>
      </c>
    </row>
    <row r="53" spans="1:8" x14ac:dyDescent="0.25">
      <c r="A53" s="29">
        <v>46248</v>
      </c>
      <c r="B53" s="30" t="s">
        <v>19</v>
      </c>
      <c r="C53" s="31">
        <v>1</v>
      </c>
      <c r="D53" s="31">
        <v>12</v>
      </c>
      <c r="E53" s="31">
        <v>10</v>
      </c>
      <c r="F53" s="31">
        <v>12</v>
      </c>
      <c r="G53" s="31">
        <v>2</v>
      </c>
      <c r="H53" s="30" t="s">
        <v>18</v>
      </c>
    </row>
    <row r="54" spans="1:8" x14ac:dyDescent="0.25">
      <c r="A54" s="29">
        <v>46248</v>
      </c>
      <c r="B54" s="30" t="s">
        <v>22</v>
      </c>
      <c r="C54" s="31">
        <v>1</v>
      </c>
      <c r="D54" s="31">
        <v>15</v>
      </c>
      <c r="E54" s="31">
        <v>14</v>
      </c>
      <c r="F54" s="31">
        <v>15</v>
      </c>
      <c r="G54" s="31">
        <v>1</v>
      </c>
      <c r="H54" s="30" t="s">
        <v>18</v>
      </c>
    </row>
    <row r="55" spans="1:8" x14ac:dyDescent="0.25">
      <c r="A55" s="29">
        <v>46248</v>
      </c>
      <c r="B55" s="30" t="s">
        <v>24</v>
      </c>
      <c r="C55" s="31">
        <v>1</v>
      </c>
      <c r="D55" s="31">
        <v>10</v>
      </c>
      <c r="E55" s="31">
        <v>7</v>
      </c>
      <c r="F55" s="31">
        <v>10</v>
      </c>
      <c r="G55" s="31">
        <v>3</v>
      </c>
      <c r="H55" s="30" t="s">
        <v>25</v>
      </c>
    </row>
    <row r="56" spans="1:8" x14ac:dyDescent="0.25">
      <c r="A56" s="29">
        <v>46248</v>
      </c>
      <c r="B56" s="30" t="s">
        <v>10</v>
      </c>
      <c r="C56" s="31">
        <v>1.35</v>
      </c>
      <c r="D56" s="31">
        <v>20</v>
      </c>
      <c r="E56" s="31">
        <v>17.5</v>
      </c>
      <c r="F56" s="31">
        <v>27</v>
      </c>
      <c r="G56" s="31">
        <v>3.375</v>
      </c>
      <c r="H56" s="30" t="s">
        <v>11</v>
      </c>
    </row>
    <row r="57" spans="1:8" x14ac:dyDescent="0.25">
      <c r="A57" s="29">
        <v>46248</v>
      </c>
      <c r="B57" s="30" t="s">
        <v>22</v>
      </c>
      <c r="C57" s="31">
        <v>1</v>
      </c>
      <c r="D57" s="31">
        <v>15</v>
      </c>
      <c r="E57" s="31">
        <v>14</v>
      </c>
      <c r="F57" s="31">
        <v>15</v>
      </c>
      <c r="G57" s="31">
        <v>1</v>
      </c>
      <c r="H57" s="30" t="s">
        <v>18</v>
      </c>
    </row>
    <row r="58" spans="1:8" x14ac:dyDescent="0.25">
      <c r="A58" s="29">
        <v>46248</v>
      </c>
      <c r="B58" s="30" t="s">
        <v>10</v>
      </c>
      <c r="C58" s="31">
        <v>1.08</v>
      </c>
      <c r="D58" s="31">
        <v>18.518518518518519</v>
      </c>
      <c r="E58" s="31">
        <v>17.5</v>
      </c>
      <c r="F58" s="31">
        <v>20</v>
      </c>
      <c r="G58" s="31">
        <v>1.1000000000000005</v>
      </c>
      <c r="H58" s="30" t="s">
        <v>11</v>
      </c>
    </row>
    <row r="59" spans="1:8" x14ac:dyDescent="0.25">
      <c r="A59" s="29">
        <v>46248</v>
      </c>
      <c r="B59" s="30" t="s">
        <v>27</v>
      </c>
      <c r="C59" s="31">
        <v>1</v>
      </c>
      <c r="D59" s="31">
        <v>23</v>
      </c>
      <c r="E59" s="31">
        <v>21</v>
      </c>
      <c r="F59" s="31">
        <v>23</v>
      </c>
      <c r="G59" s="31">
        <v>2</v>
      </c>
      <c r="H59" s="30" t="s">
        <v>18</v>
      </c>
    </row>
    <row r="60" spans="1:8" x14ac:dyDescent="0.25">
      <c r="A60" s="29">
        <v>46248</v>
      </c>
      <c r="B60" s="30" t="s">
        <v>17</v>
      </c>
      <c r="C60" s="31">
        <v>2</v>
      </c>
      <c r="D60" s="31">
        <v>5.5</v>
      </c>
      <c r="E60" s="31">
        <v>4.4000000000000004</v>
      </c>
      <c r="F60" s="31">
        <v>11</v>
      </c>
      <c r="G60" s="31">
        <v>2.1999999999999993</v>
      </c>
      <c r="H60" s="30" t="s">
        <v>18</v>
      </c>
    </row>
    <row r="61" spans="1:8" x14ac:dyDescent="0.25">
      <c r="A61" s="29">
        <v>46248</v>
      </c>
      <c r="B61" s="30" t="s">
        <v>12</v>
      </c>
      <c r="C61" s="31">
        <v>1.82</v>
      </c>
      <c r="D61" s="31">
        <v>19.780219780219781</v>
      </c>
      <c r="E61" s="31">
        <v>18</v>
      </c>
      <c r="F61" s="31">
        <v>36</v>
      </c>
      <c r="G61" s="31">
        <v>3.2400000000000015</v>
      </c>
      <c r="H61" s="30" t="s">
        <v>11</v>
      </c>
    </row>
    <row r="62" spans="1:8" x14ac:dyDescent="0.25">
      <c r="A62" s="29">
        <v>46248</v>
      </c>
      <c r="B62" s="30" t="s">
        <v>22</v>
      </c>
      <c r="C62" s="31">
        <v>1</v>
      </c>
      <c r="D62" s="31">
        <v>15</v>
      </c>
      <c r="E62" s="31">
        <v>14</v>
      </c>
      <c r="F62" s="31">
        <v>15</v>
      </c>
      <c r="G62" s="31">
        <v>1</v>
      </c>
      <c r="H62" s="30" t="s">
        <v>18</v>
      </c>
    </row>
    <row r="63" spans="1:8" x14ac:dyDescent="0.25">
      <c r="A63" s="29">
        <v>46248</v>
      </c>
      <c r="B63" s="30" t="s">
        <v>19</v>
      </c>
      <c r="C63" s="31">
        <v>2</v>
      </c>
      <c r="D63" s="31">
        <v>11</v>
      </c>
      <c r="E63" s="31">
        <v>10</v>
      </c>
      <c r="F63" s="31">
        <v>22</v>
      </c>
      <c r="G63" s="31">
        <v>2</v>
      </c>
      <c r="H63" s="30" t="s">
        <v>18</v>
      </c>
    </row>
    <row r="64" spans="1:8" x14ac:dyDescent="0.25">
      <c r="A64" s="29">
        <v>46248</v>
      </c>
      <c r="B64" s="30" t="s">
        <v>27</v>
      </c>
      <c r="C64" s="31">
        <v>4</v>
      </c>
      <c r="D64" s="31">
        <v>22</v>
      </c>
      <c r="E64" s="31">
        <v>21</v>
      </c>
      <c r="F64" s="31">
        <v>88</v>
      </c>
      <c r="G64" s="31">
        <v>4</v>
      </c>
      <c r="H64" s="30" t="s">
        <v>18</v>
      </c>
    </row>
    <row r="65" spans="1:8" x14ac:dyDescent="0.25">
      <c r="A65" s="29">
        <v>46248</v>
      </c>
      <c r="B65" s="30" t="s">
        <v>26</v>
      </c>
      <c r="C65" s="31">
        <v>1</v>
      </c>
      <c r="D65" s="31">
        <v>26</v>
      </c>
      <c r="E65" s="31">
        <v>25</v>
      </c>
      <c r="F65" s="31">
        <v>26</v>
      </c>
      <c r="G65" s="31">
        <v>1</v>
      </c>
      <c r="H65" s="30" t="s">
        <v>25</v>
      </c>
    </row>
    <row r="66" spans="1:8" x14ac:dyDescent="0.25">
      <c r="A66" s="29">
        <v>46248</v>
      </c>
      <c r="B66" s="30" t="s">
        <v>17</v>
      </c>
      <c r="C66" s="31">
        <v>3</v>
      </c>
      <c r="D66" s="31">
        <v>5.666666666666667</v>
      </c>
      <c r="E66" s="31">
        <v>4.4000000000000004</v>
      </c>
      <c r="F66" s="31">
        <v>17</v>
      </c>
      <c r="G66" s="31">
        <v>3.8</v>
      </c>
      <c r="H66" s="30" t="s">
        <v>18</v>
      </c>
    </row>
    <row r="67" spans="1:8" x14ac:dyDescent="0.25">
      <c r="A67" s="29">
        <v>46248</v>
      </c>
      <c r="B67" s="30" t="s">
        <v>12</v>
      </c>
      <c r="C67" s="31">
        <v>1.84</v>
      </c>
      <c r="D67" s="31">
        <v>20.10869565217391</v>
      </c>
      <c r="E67" s="31">
        <v>18</v>
      </c>
      <c r="F67" s="31">
        <v>37</v>
      </c>
      <c r="G67" s="31">
        <v>3.8799999999999955</v>
      </c>
      <c r="H67" s="30" t="s">
        <v>11</v>
      </c>
    </row>
    <row r="68" spans="1:8" x14ac:dyDescent="0.25">
      <c r="A68" s="29">
        <v>46248</v>
      </c>
      <c r="B68" s="30" t="s">
        <v>20</v>
      </c>
      <c r="C68" s="31">
        <v>0.49</v>
      </c>
      <c r="D68" s="31">
        <v>28.571428571428573</v>
      </c>
      <c r="E68" s="31">
        <v>27</v>
      </c>
      <c r="F68" s="31">
        <v>14</v>
      </c>
      <c r="G68" s="31">
        <v>0.77000000000000068</v>
      </c>
      <c r="H68" s="30" t="s">
        <v>11</v>
      </c>
    </row>
    <row r="69" spans="1:8" x14ac:dyDescent="0.25">
      <c r="A69" s="29">
        <v>46248</v>
      </c>
      <c r="B69" s="30" t="s">
        <v>13</v>
      </c>
      <c r="C69" s="31">
        <v>2.36</v>
      </c>
      <c r="D69" s="31">
        <v>19.915254237288135</v>
      </c>
      <c r="E69" s="31">
        <v>18.5</v>
      </c>
      <c r="F69" s="31">
        <v>47</v>
      </c>
      <c r="G69" s="31">
        <v>3.3399999999999981</v>
      </c>
      <c r="H69" s="30" t="s">
        <v>11</v>
      </c>
    </row>
    <row r="70" spans="1:8" x14ac:dyDescent="0.25">
      <c r="A70" s="34">
        <v>46249</v>
      </c>
      <c r="B70" s="35" t="s">
        <v>21</v>
      </c>
      <c r="C70" s="36">
        <v>1</v>
      </c>
      <c r="D70" s="36">
        <v>17</v>
      </c>
      <c r="E70" s="36">
        <v>15.333333333333334</v>
      </c>
      <c r="F70" s="36">
        <v>17</v>
      </c>
      <c r="G70" s="36">
        <v>1.6666666666666661</v>
      </c>
      <c r="H70" s="35" t="s">
        <v>18</v>
      </c>
    </row>
    <row r="71" spans="1:8" x14ac:dyDescent="0.25">
      <c r="A71" s="34">
        <v>46249</v>
      </c>
      <c r="B71" s="35" t="s">
        <v>16</v>
      </c>
      <c r="C71" s="36">
        <v>2.94</v>
      </c>
      <c r="D71" s="36">
        <v>17.006802721088437</v>
      </c>
      <c r="E71" s="36">
        <v>16</v>
      </c>
      <c r="F71" s="36">
        <v>50</v>
      </c>
      <c r="G71" s="36">
        <v>2.9600000000000057</v>
      </c>
      <c r="H71" s="35" t="s">
        <v>11</v>
      </c>
    </row>
    <row r="72" spans="1:8" x14ac:dyDescent="0.25">
      <c r="A72" s="34">
        <v>46249</v>
      </c>
      <c r="B72" s="35" t="s">
        <v>22</v>
      </c>
      <c r="C72" s="36">
        <v>1</v>
      </c>
      <c r="D72" s="36">
        <v>14</v>
      </c>
      <c r="E72" s="36">
        <v>14</v>
      </c>
      <c r="F72" s="36">
        <v>14</v>
      </c>
      <c r="G72" s="36">
        <v>0</v>
      </c>
      <c r="H72" s="35" t="s">
        <v>18</v>
      </c>
    </row>
    <row r="73" spans="1:8" x14ac:dyDescent="0.25">
      <c r="A73" s="34">
        <v>46249</v>
      </c>
      <c r="B73" s="35" t="s">
        <v>20</v>
      </c>
      <c r="C73" s="36">
        <v>0.45</v>
      </c>
      <c r="D73" s="36">
        <v>31.111111111111111</v>
      </c>
      <c r="E73" s="36">
        <v>27</v>
      </c>
      <c r="F73" s="36">
        <v>14</v>
      </c>
      <c r="G73" s="36">
        <v>1.8499999999999999</v>
      </c>
      <c r="H73" s="35" t="s">
        <v>11</v>
      </c>
    </row>
    <row r="74" spans="1:8" x14ac:dyDescent="0.25">
      <c r="A74" s="34">
        <v>46249</v>
      </c>
      <c r="B74" s="35" t="s">
        <v>15</v>
      </c>
      <c r="C74" s="36">
        <v>1.92</v>
      </c>
      <c r="D74" s="36">
        <v>16.666666666666668</v>
      </c>
      <c r="E74" s="36">
        <v>15</v>
      </c>
      <c r="F74" s="36">
        <v>32</v>
      </c>
      <c r="G74" s="36">
        <v>3.200000000000002</v>
      </c>
      <c r="H74" s="35" t="s">
        <v>11</v>
      </c>
    </row>
    <row r="75" spans="1:8" x14ac:dyDescent="0.25">
      <c r="A75" s="34">
        <v>46249</v>
      </c>
      <c r="B75" s="35" t="s">
        <v>23</v>
      </c>
      <c r="C75" s="36">
        <v>1.3</v>
      </c>
      <c r="D75" s="36">
        <v>16.153846153846153</v>
      </c>
      <c r="E75" s="36">
        <v>16</v>
      </c>
      <c r="F75" s="36">
        <v>21</v>
      </c>
      <c r="G75" s="36">
        <v>0.19999999999999929</v>
      </c>
      <c r="H75" s="35" t="s">
        <v>11</v>
      </c>
    </row>
    <row r="76" spans="1:8" x14ac:dyDescent="0.25">
      <c r="A76" s="34">
        <v>46249</v>
      </c>
      <c r="B76" s="35" t="s">
        <v>10</v>
      </c>
      <c r="C76" s="36">
        <v>1.36</v>
      </c>
      <c r="D76" s="36">
        <v>19.852941176470587</v>
      </c>
      <c r="E76" s="36">
        <v>17.5</v>
      </c>
      <c r="F76" s="36">
        <v>27</v>
      </c>
      <c r="G76" s="36">
        <v>3.1999999999999984</v>
      </c>
      <c r="H76" s="35" t="s">
        <v>11</v>
      </c>
    </row>
    <row r="77" spans="1:8" x14ac:dyDescent="0.25">
      <c r="A77" s="34">
        <v>46249</v>
      </c>
      <c r="B77" s="35" t="s">
        <v>23</v>
      </c>
      <c r="C77" s="36">
        <v>1.3</v>
      </c>
      <c r="D77" s="36">
        <v>16.923076923076923</v>
      </c>
      <c r="E77" s="36">
        <v>16</v>
      </c>
      <c r="F77" s="36">
        <v>22</v>
      </c>
      <c r="G77" s="36">
        <v>1.2000000000000004</v>
      </c>
      <c r="H77" s="35" t="s">
        <v>11</v>
      </c>
    </row>
    <row r="78" spans="1:8" x14ac:dyDescent="0.25">
      <c r="A78" s="34">
        <v>46249</v>
      </c>
      <c r="B78" s="35" t="s">
        <v>27</v>
      </c>
      <c r="C78" s="36">
        <v>2</v>
      </c>
      <c r="D78" s="36">
        <v>22</v>
      </c>
      <c r="E78" s="36">
        <v>21</v>
      </c>
      <c r="F78" s="36">
        <v>44</v>
      </c>
      <c r="G78" s="36">
        <v>2</v>
      </c>
      <c r="H78" s="35" t="s">
        <v>18</v>
      </c>
    </row>
    <row r="79" spans="1:8" x14ac:dyDescent="0.25">
      <c r="A79" s="34">
        <v>46249</v>
      </c>
      <c r="B79" s="35" t="s">
        <v>26</v>
      </c>
      <c r="C79" s="36">
        <v>1</v>
      </c>
      <c r="D79" s="36">
        <v>26</v>
      </c>
      <c r="E79" s="36">
        <v>25</v>
      </c>
      <c r="F79" s="36">
        <v>26</v>
      </c>
      <c r="G79" s="36">
        <v>1</v>
      </c>
      <c r="H79" s="35" t="s">
        <v>25</v>
      </c>
    </row>
    <row r="80" spans="1:8" x14ac:dyDescent="0.25">
      <c r="A80" s="34">
        <v>46249</v>
      </c>
      <c r="B80" s="35" t="s">
        <v>19</v>
      </c>
      <c r="C80" s="36">
        <v>2</v>
      </c>
      <c r="D80" s="36">
        <v>12</v>
      </c>
      <c r="E80" s="36">
        <v>10</v>
      </c>
      <c r="F80" s="36">
        <v>24</v>
      </c>
      <c r="G80" s="36">
        <v>4</v>
      </c>
      <c r="H80" s="35" t="s">
        <v>18</v>
      </c>
    </row>
    <row r="81" spans="1:8" x14ac:dyDescent="0.25">
      <c r="A81" s="24">
        <v>46250</v>
      </c>
      <c r="B81" s="23" t="s">
        <v>14</v>
      </c>
      <c r="C81" s="25">
        <v>4.9800000000000004</v>
      </c>
      <c r="D81" s="25">
        <v>20.481927710843372</v>
      </c>
      <c r="E81" s="25">
        <v>20</v>
      </c>
      <c r="F81" s="25">
        <v>102</v>
      </c>
      <c r="G81" s="25">
        <v>2.3999999999999946</v>
      </c>
      <c r="H81" s="23" t="s">
        <v>11</v>
      </c>
    </row>
    <row r="82" spans="1:8" x14ac:dyDescent="0.25">
      <c r="A82" s="24">
        <v>46250</v>
      </c>
      <c r="B82" s="23" t="s">
        <v>15</v>
      </c>
      <c r="C82" s="25">
        <v>1.67</v>
      </c>
      <c r="D82" s="25">
        <v>17.964071856287426</v>
      </c>
      <c r="E82" s="25">
        <v>15</v>
      </c>
      <c r="F82" s="25">
        <v>30</v>
      </c>
      <c r="G82" s="25">
        <v>4.95</v>
      </c>
      <c r="H82" s="23" t="s">
        <v>11</v>
      </c>
    </row>
    <row r="83" spans="1:8" x14ac:dyDescent="0.25">
      <c r="A83" s="24">
        <v>46250</v>
      </c>
      <c r="B83" s="23" t="s">
        <v>17</v>
      </c>
      <c r="C83" s="25">
        <v>2</v>
      </c>
      <c r="D83" s="25">
        <v>6</v>
      </c>
      <c r="E83" s="25">
        <v>4.4000000000000004</v>
      </c>
      <c r="F83" s="25">
        <v>12</v>
      </c>
      <c r="G83" s="25">
        <v>3.1999999999999993</v>
      </c>
      <c r="H83" s="23" t="s">
        <v>18</v>
      </c>
    </row>
    <row r="84" spans="1:8" x14ac:dyDescent="0.25">
      <c r="A84" s="24">
        <v>46250</v>
      </c>
      <c r="B84" s="23" t="s">
        <v>20</v>
      </c>
      <c r="C84" s="25">
        <v>0.43</v>
      </c>
      <c r="D84" s="25">
        <v>30.232558139534884</v>
      </c>
      <c r="E84" s="25">
        <v>27</v>
      </c>
      <c r="F84" s="25">
        <v>13</v>
      </c>
      <c r="G84" s="25">
        <v>1.3900000000000001</v>
      </c>
      <c r="H84" s="23" t="s">
        <v>11</v>
      </c>
    </row>
    <row r="85" spans="1:8" x14ac:dyDescent="0.25">
      <c r="A85" s="24">
        <v>46250</v>
      </c>
      <c r="B85" s="23" t="s">
        <v>16</v>
      </c>
      <c r="C85" s="25">
        <v>2.81</v>
      </c>
      <c r="D85" s="25">
        <v>17.793594306049823</v>
      </c>
      <c r="E85" s="25">
        <v>15.126891734575088</v>
      </c>
      <c r="F85" s="25">
        <v>50</v>
      </c>
      <c r="G85" s="25">
        <v>7.4934342258440054</v>
      </c>
      <c r="H85" s="23" t="s">
        <v>11</v>
      </c>
    </row>
    <row r="86" spans="1:8" x14ac:dyDescent="0.25">
      <c r="A86" s="24">
        <v>46250</v>
      </c>
      <c r="B86" s="23" t="s">
        <v>13</v>
      </c>
      <c r="C86" s="25">
        <v>4.12</v>
      </c>
      <c r="D86" s="25">
        <v>19.902912621359224</v>
      </c>
      <c r="E86" s="25">
        <v>17.641139421700544</v>
      </c>
      <c r="F86" s="25">
        <v>82</v>
      </c>
      <c r="G86" s="25">
        <v>9.3185055825937635</v>
      </c>
      <c r="H86" s="23" t="s">
        <v>11</v>
      </c>
    </row>
    <row r="87" spans="1:8" x14ac:dyDescent="0.25">
      <c r="A87" s="24">
        <v>46250</v>
      </c>
      <c r="B87" s="23" t="s">
        <v>26</v>
      </c>
      <c r="C87" s="25">
        <v>2</v>
      </c>
      <c r="D87" s="25">
        <v>28</v>
      </c>
      <c r="E87" s="25">
        <v>24.558823529411764</v>
      </c>
      <c r="F87" s="25">
        <v>56</v>
      </c>
      <c r="G87" s="25">
        <v>6.882352941176471</v>
      </c>
      <c r="H87" s="23" t="s">
        <v>25</v>
      </c>
    </row>
    <row r="88" spans="1:8" x14ac:dyDescent="0.25">
      <c r="A88" s="24">
        <v>46250</v>
      </c>
      <c r="B88" s="23" t="s">
        <v>23</v>
      </c>
      <c r="C88" s="25">
        <v>1.77</v>
      </c>
      <c r="D88" s="25">
        <v>16.949152542372882</v>
      </c>
      <c r="E88" s="25">
        <v>16</v>
      </c>
      <c r="F88" s="25">
        <v>30</v>
      </c>
      <c r="G88" s="25">
        <v>1.6800000000000019</v>
      </c>
      <c r="H88" s="23" t="s">
        <v>11</v>
      </c>
    </row>
    <row r="89" spans="1:8" x14ac:dyDescent="0.25">
      <c r="A89" s="24">
        <v>46250</v>
      </c>
      <c r="B89" s="23" t="s">
        <v>26</v>
      </c>
      <c r="C89" s="25">
        <v>1</v>
      </c>
      <c r="D89" s="25">
        <v>26</v>
      </c>
      <c r="E89" s="25">
        <v>24.558823529411764</v>
      </c>
      <c r="F89" s="25">
        <v>26</v>
      </c>
      <c r="G89" s="25">
        <v>1.4411764705882355</v>
      </c>
      <c r="H89" s="23" t="s">
        <v>25</v>
      </c>
    </row>
    <row r="90" spans="1:8" x14ac:dyDescent="0.25">
      <c r="A90" s="24">
        <v>46250</v>
      </c>
      <c r="B90" s="23" t="s">
        <v>27</v>
      </c>
      <c r="C90" s="25">
        <v>2</v>
      </c>
      <c r="D90" s="25">
        <v>22</v>
      </c>
      <c r="E90" s="25">
        <v>21</v>
      </c>
      <c r="F90" s="25">
        <v>44</v>
      </c>
      <c r="G90" s="25">
        <v>2</v>
      </c>
      <c r="H90" s="23" t="s">
        <v>18</v>
      </c>
    </row>
    <row r="91" spans="1:8" x14ac:dyDescent="0.25">
      <c r="A91" s="24">
        <v>46250</v>
      </c>
      <c r="B91" s="23" t="s">
        <v>21</v>
      </c>
      <c r="C91" s="25">
        <v>2</v>
      </c>
      <c r="D91" s="25">
        <v>17</v>
      </c>
      <c r="E91" s="25">
        <v>15.333333333333334</v>
      </c>
      <c r="F91" s="25">
        <v>34</v>
      </c>
      <c r="G91" s="25">
        <v>3.3333333333333321</v>
      </c>
      <c r="H91" s="23" t="s">
        <v>18</v>
      </c>
    </row>
    <row r="92" spans="1:8" x14ac:dyDescent="0.25">
      <c r="A92" s="24">
        <v>46250</v>
      </c>
      <c r="B92" s="23" t="s">
        <v>15</v>
      </c>
      <c r="C92" s="25">
        <v>1.91</v>
      </c>
      <c r="D92" s="25">
        <v>16.230366492146597</v>
      </c>
      <c r="E92" s="25">
        <v>14.735868991019546</v>
      </c>
      <c r="F92" s="25">
        <v>31</v>
      </c>
      <c r="G92" s="25">
        <v>2.8544902271526689</v>
      </c>
      <c r="H92" s="23" t="s">
        <v>11</v>
      </c>
    </row>
    <row r="93" spans="1:8" x14ac:dyDescent="0.25">
      <c r="A93" s="24">
        <v>46250</v>
      </c>
      <c r="B93" s="23" t="s">
        <v>26</v>
      </c>
      <c r="C93" s="25">
        <v>1</v>
      </c>
      <c r="D93" s="25">
        <v>28</v>
      </c>
      <c r="E93" s="25">
        <v>24.558823529411764</v>
      </c>
      <c r="F93" s="25">
        <v>28</v>
      </c>
      <c r="G93" s="25">
        <v>3.4411764705882355</v>
      </c>
      <c r="H93" s="23" t="s">
        <v>25</v>
      </c>
    </row>
    <row r="94" spans="1:8" x14ac:dyDescent="0.25">
      <c r="A94" s="24">
        <v>46250</v>
      </c>
      <c r="B94" s="23" t="s">
        <v>12</v>
      </c>
      <c r="C94" s="25">
        <v>1.94</v>
      </c>
      <c r="D94" s="25">
        <v>20.103092783505154</v>
      </c>
      <c r="E94" s="25">
        <v>18</v>
      </c>
      <c r="F94" s="25">
        <v>39</v>
      </c>
      <c r="G94" s="25">
        <v>4.0799999999999992</v>
      </c>
      <c r="H94" s="23" t="s">
        <v>11</v>
      </c>
    </row>
    <row r="95" spans="1:8" x14ac:dyDescent="0.25">
      <c r="A95" s="24">
        <v>46250</v>
      </c>
      <c r="B95" s="23" t="s">
        <v>15</v>
      </c>
      <c r="C95" s="25">
        <v>1.7</v>
      </c>
      <c r="D95" s="25">
        <v>17.058823529411764</v>
      </c>
      <c r="E95" s="25">
        <v>14.735868991019546</v>
      </c>
      <c r="F95" s="25">
        <v>29</v>
      </c>
      <c r="G95" s="25">
        <v>3.9490227152667723</v>
      </c>
      <c r="H95" s="23" t="s">
        <v>11</v>
      </c>
    </row>
    <row r="96" spans="1:8" x14ac:dyDescent="0.25">
      <c r="A96" s="24">
        <v>46250</v>
      </c>
      <c r="B96" s="23" t="s">
        <v>20</v>
      </c>
      <c r="C96" s="25">
        <v>0.38</v>
      </c>
      <c r="D96" s="25">
        <v>28.94736842105263</v>
      </c>
      <c r="E96" s="25">
        <v>27</v>
      </c>
      <c r="F96" s="25">
        <v>11</v>
      </c>
      <c r="G96" s="25">
        <v>0.73999999999999944</v>
      </c>
      <c r="H96" s="23" t="s">
        <v>11</v>
      </c>
    </row>
    <row r="97" spans="1:8" x14ac:dyDescent="0.25">
      <c r="A97" s="24">
        <v>46250</v>
      </c>
      <c r="B97" s="23" t="s">
        <v>26</v>
      </c>
      <c r="C97" s="25">
        <v>1</v>
      </c>
      <c r="D97" s="25">
        <v>27</v>
      </c>
      <c r="E97" s="25">
        <v>24.558823529411764</v>
      </c>
      <c r="F97" s="25">
        <v>27</v>
      </c>
      <c r="G97" s="25">
        <v>2.4411764705882355</v>
      </c>
      <c r="H97" s="23" t="s">
        <v>25</v>
      </c>
    </row>
    <row r="98" spans="1:8" x14ac:dyDescent="0.25">
      <c r="A98" s="24">
        <v>46250</v>
      </c>
      <c r="B98" s="23" t="s">
        <v>17</v>
      </c>
      <c r="C98" s="25">
        <v>3</v>
      </c>
      <c r="D98" s="25">
        <v>5.666666666666667</v>
      </c>
      <c r="E98" s="25">
        <v>4.4000000000000004</v>
      </c>
      <c r="F98" s="25">
        <v>17</v>
      </c>
      <c r="G98" s="25">
        <v>3.8</v>
      </c>
      <c r="H98" s="23" t="s">
        <v>18</v>
      </c>
    </row>
    <row r="99" spans="1:8" x14ac:dyDescent="0.25">
      <c r="A99" s="26">
        <v>46251</v>
      </c>
      <c r="B99" s="27" t="s">
        <v>21</v>
      </c>
      <c r="C99" s="28">
        <v>2</v>
      </c>
      <c r="D99" s="28">
        <v>17</v>
      </c>
      <c r="E99" s="28">
        <v>15.333333333333334</v>
      </c>
      <c r="F99" s="28">
        <v>34</v>
      </c>
      <c r="G99" s="28">
        <v>3.3333333333333321</v>
      </c>
      <c r="H99" s="27" t="s">
        <v>18</v>
      </c>
    </row>
    <row r="100" spans="1:8" x14ac:dyDescent="0.25">
      <c r="A100" s="26">
        <v>46251</v>
      </c>
      <c r="B100" s="27" t="s">
        <v>66</v>
      </c>
      <c r="C100" s="28">
        <v>0.78</v>
      </c>
      <c r="D100" s="28">
        <v>28.205128205128204</v>
      </c>
      <c r="E100" s="28">
        <v>23.5</v>
      </c>
      <c r="F100" s="28">
        <v>22</v>
      </c>
      <c r="G100" s="28">
        <v>3.6699999999999995</v>
      </c>
      <c r="H100" s="27" t="s">
        <v>11</v>
      </c>
    </row>
    <row r="101" spans="1:8" x14ac:dyDescent="0.25">
      <c r="A101" s="26">
        <v>46251</v>
      </c>
      <c r="B101" s="27" t="s">
        <v>65</v>
      </c>
      <c r="C101" s="28">
        <v>1</v>
      </c>
      <c r="D101" s="28">
        <v>17</v>
      </c>
      <c r="E101" s="28">
        <v>15</v>
      </c>
      <c r="F101" s="28">
        <v>17</v>
      </c>
      <c r="G101" s="28">
        <v>2</v>
      </c>
      <c r="H101" s="27" t="s">
        <v>18</v>
      </c>
    </row>
    <row r="102" spans="1:8" x14ac:dyDescent="0.25">
      <c r="A102" s="26">
        <v>46251</v>
      </c>
      <c r="B102" s="27" t="s">
        <v>66</v>
      </c>
      <c r="C102" s="28">
        <v>0.77</v>
      </c>
      <c r="D102" s="28">
        <v>28.571428571428569</v>
      </c>
      <c r="E102" s="28">
        <v>23.5</v>
      </c>
      <c r="F102" s="28">
        <v>22</v>
      </c>
      <c r="G102" s="28">
        <v>3.9049999999999985</v>
      </c>
      <c r="H102" s="27" t="s">
        <v>11</v>
      </c>
    </row>
    <row r="103" spans="1:8" x14ac:dyDescent="0.25">
      <c r="A103" s="26">
        <v>46251</v>
      </c>
      <c r="B103" s="27" t="s">
        <v>23</v>
      </c>
      <c r="C103" s="28">
        <v>1.43</v>
      </c>
      <c r="D103" s="28">
        <v>16.783216783216783</v>
      </c>
      <c r="E103" s="28">
        <v>16</v>
      </c>
      <c r="F103" s="28">
        <v>24</v>
      </c>
      <c r="G103" s="28">
        <v>1.1200000000000001</v>
      </c>
      <c r="H103" s="27" t="s">
        <v>11</v>
      </c>
    </row>
    <row r="104" spans="1:8" x14ac:dyDescent="0.25">
      <c r="A104" s="26">
        <v>46251</v>
      </c>
      <c r="B104" s="27" t="s">
        <v>22</v>
      </c>
      <c r="C104" s="28">
        <v>1</v>
      </c>
      <c r="D104" s="28">
        <v>15</v>
      </c>
      <c r="E104" s="28">
        <v>14</v>
      </c>
      <c r="F104" s="28">
        <v>15</v>
      </c>
      <c r="G104" s="28">
        <v>1</v>
      </c>
      <c r="H104" s="27" t="s">
        <v>18</v>
      </c>
    </row>
    <row r="105" spans="1:8" x14ac:dyDescent="0.25">
      <c r="A105" s="26">
        <v>46251</v>
      </c>
      <c r="B105" s="27" t="s">
        <v>66</v>
      </c>
      <c r="C105" s="28">
        <v>0.33</v>
      </c>
      <c r="D105" s="28">
        <v>27.27272727272727</v>
      </c>
      <c r="E105" s="28">
        <v>23.5</v>
      </c>
      <c r="F105" s="28">
        <v>9</v>
      </c>
      <c r="G105" s="28">
        <v>1.244999999999999</v>
      </c>
      <c r="H105" s="27" t="s">
        <v>11</v>
      </c>
    </row>
    <row r="106" spans="1:8" x14ac:dyDescent="0.25">
      <c r="A106" s="26">
        <v>46251</v>
      </c>
      <c r="B106" s="27" t="s">
        <v>26</v>
      </c>
      <c r="C106" s="28">
        <v>1</v>
      </c>
      <c r="D106" s="28">
        <v>28</v>
      </c>
      <c r="E106" s="28">
        <v>24.558823529411764</v>
      </c>
      <c r="F106" s="28">
        <v>28</v>
      </c>
      <c r="G106" s="28">
        <v>3.4411764705882355</v>
      </c>
      <c r="H106" s="27" t="s">
        <v>25</v>
      </c>
    </row>
    <row r="107" spans="1:8" x14ac:dyDescent="0.25">
      <c r="A107" s="26">
        <v>46251</v>
      </c>
      <c r="B107" s="27" t="s">
        <v>15</v>
      </c>
      <c r="C107" s="28">
        <v>1.95</v>
      </c>
      <c r="D107" s="28">
        <v>16.410256410256412</v>
      </c>
      <c r="E107" s="28">
        <v>14.735868991019546</v>
      </c>
      <c r="F107" s="28">
        <v>32</v>
      </c>
      <c r="G107" s="28">
        <v>3.2650554675118904</v>
      </c>
      <c r="H107" s="27" t="s">
        <v>11</v>
      </c>
    </row>
    <row r="108" spans="1:8" x14ac:dyDescent="0.25">
      <c r="A108" s="26">
        <v>46251</v>
      </c>
      <c r="B108" s="27" t="s">
        <v>13</v>
      </c>
      <c r="C108" s="28">
        <v>2.6</v>
      </c>
      <c r="D108" s="28">
        <v>20</v>
      </c>
      <c r="E108" s="28">
        <v>17.641139421700544</v>
      </c>
      <c r="F108" s="28">
        <v>52</v>
      </c>
      <c r="G108" s="28">
        <v>6.1330375035785867</v>
      </c>
      <c r="H108" s="27" t="s">
        <v>11</v>
      </c>
    </row>
    <row r="109" spans="1:8" x14ac:dyDescent="0.25">
      <c r="A109" s="26">
        <v>46251</v>
      </c>
      <c r="B109" s="27" t="s">
        <v>24</v>
      </c>
      <c r="C109" s="28">
        <v>1</v>
      </c>
      <c r="D109" s="28">
        <v>9</v>
      </c>
      <c r="E109" s="28">
        <v>7</v>
      </c>
      <c r="F109" s="28">
        <v>9</v>
      </c>
      <c r="G109" s="28">
        <v>2</v>
      </c>
      <c r="H109" s="27" t="s">
        <v>25</v>
      </c>
    </row>
    <row r="110" spans="1:8" x14ac:dyDescent="0.25">
      <c r="A110" s="26">
        <v>46251</v>
      </c>
      <c r="B110" s="27" t="s">
        <v>17</v>
      </c>
      <c r="C110" s="28">
        <v>1</v>
      </c>
      <c r="D110" s="28">
        <v>6</v>
      </c>
      <c r="E110" s="28">
        <v>4.4000000000000004</v>
      </c>
      <c r="F110" s="28">
        <v>6</v>
      </c>
      <c r="G110" s="28">
        <v>1.5999999999999996</v>
      </c>
      <c r="H110" s="27" t="s">
        <v>18</v>
      </c>
    </row>
    <row r="111" spans="1:8" x14ac:dyDescent="0.25">
      <c r="A111" s="26">
        <v>46251</v>
      </c>
      <c r="B111" s="27" t="s">
        <v>16</v>
      </c>
      <c r="C111" s="28">
        <v>2.0099999999999998</v>
      </c>
      <c r="D111" s="28">
        <v>16.417910447761194</v>
      </c>
      <c r="E111" s="28">
        <v>15.126891734575088</v>
      </c>
      <c r="F111" s="28">
        <v>33</v>
      </c>
      <c r="G111" s="28">
        <v>2.5949476135040745</v>
      </c>
      <c r="H111" s="27" t="s">
        <v>11</v>
      </c>
    </row>
    <row r="112" spans="1:8" x14ac:dyDescent="0.25">
      <c r="A112" s="26">
        <v>46251</v>
      </c>
      <c r="B112" s="27" t="s">
        <v>13</v>
      </c>
      <c r="C112" s="28">
        <v>6.5</v>
      </c>
      <c r="D112" s="28">
        <v>19.23076923076923</v>
      </c>
      <c r="E112" s="28">
        <v>17.641139421700544</v>
      </c>
      <c r="F112" s="28">
        <v>125</v>
      </c>
      <c r="G112" s="28">
        <v>10.33259375894646</v>
      </c>
      <c r="H112" s="27" t="s">
        <v>11</v>
      </c>
    </row>
    <row r="113" spans="1:8" x14ac:dyDescent="0.25">
      <c r="A113" s="26">
        <v>46251</v>
      </c>
      <c r="B113" s="27" t="s">
        <v>20</v>
      </c>
      <c r="C113" s="28">
        <v>0.8</v>
      </c>
      <c r="D113" s="28">
        <v>27.5</v>
      </c>
      <c r="E113" s="28">
        <v>27</v>
      </c>
      <c r="F113" s="28">
        <v>22</v>
      </c>
      <c r="G113" s="28">
        <v>0.4</v>
      </c>
      <c r="H113" s="27" t="s">
        <v>11</v>
      </c>
    </row>
    <row r="114" spans="1:8" x14ac:dyDescent="0.25">
      <c r="A114" s="29">
        <v>46252</v>
      </c>
      <c r="B114" s="30" t="s">
        <v>26</v>
      </c>
      <c r="C114" s="31">
        <v>1</v>
      </c>
      <c r="D114" s="31">
        <v>28</v>
      </c>
      <c r="E114" s="31">
        <v>24.558823529411764</v>
      </c>
      <c r="F114" s="31">
        <v>28</v>
      </c>
      <c r="G114" s="31">
        <v>3.4411764705882355</v>
      </c>
      <c r="H114" s="30" t="s">
        <v>25</v>
      </c>
    </row>
    <row r="115" spans="1:8" x14ac:dyDescent="0.25">
      <c r="A115" s="29">
        <v>46252</v>
      </c>
      <c r="B115" s="30" t="s">
        <v>13</v>
      </c>
      <c r="C115" s="31">
        <v>2.5</v>
      </c>
      <c r="D115" s="31">
        <v>20</v>
      </c>
      <c r="E115" s="31">
        <v>17.641139421700544</v>
      </c>
      <c r="F115" s="31">
        <v>50</v>
      </c>
      <c r="G115" s="31">
        <v>5.8971514457486407</v>
      </c>
      <c r="H115" s="30" t="s">
        <v>11</v>
      </c>
    </row>
    <row r="116" spans="1:8" x14ac:dyDescent="0.25">
      <c r="A116" s="29">
        <v>46252</v>
      </c>
      <c r="B116" s="30" t="s">
        <v>17</v>
      </c>
      <c r="C116" s="31">
        <v>1</v>
      </c>
      <c r="D116" s="31">
        <v>6</v>
      </c>
      <c r="E116" s="31">
        <v>4.4000000000000004</v>
      </c>
      <c r="F116" s="31">
        <v>6</v>
      </c>
      <c r="G116" s="31">
        <v>1.5999999999999996</v>
      </c>
      <c r="H116" s="30" t="s">
        <v>18</v>
      </c>
    </row>
    <row r="117" spans="1:8" x14ac:dyDescent="0.25">
      <c r="A117" s="29">
        <v>46252</v>
      </c>
      <c r="B117" s="30" t="s">
        <v>12</v>
      </c>
      <c r="C117" s="31">
        <v>1.36</v>
      </c>
      <c r="D117" s="31">
        <v>19.117647058823529</v>
      </c>
      <c r="E117" s="31">
        <v>18</v>
      </c>
      <c r="F117" s="31">
        <v>26</v>
      </c>
      <c r="G117" s="31">
        <v>1.5199999999999996</v>
      </c>
      <c r="H117" s="30" t="s">
        <v>11</v>
      </c>
    </row>
    <row r="118" spans="1:8" x14ac:dyDescent="0.25">
      <c r="A118" s="29">
        <v>46252</v>
      </c>
      <c r="B118" s="30" t="s">
        <v>19</v>
      </c>
      <c r="C118" s="31">
        <v>1</v>
      </c>
      <c r="D118" s="31">
        <v>12</v>
      </c>
      <c r="E118" s="31">
        <v>10</v>
      </c>
      <c r="F118" s="31">
        <v>12</v>
      </c>
      <c r="G118" s="31">
        <v>2</v>
      </c>
      <c r="H118" s="30" t="s">
        <v>18</v>
      </c>
    </row>
    <row r="119" spans="1:8" x14ac:dyDescent="0.25">
      <c r="A119" s="29">
        <v>46252</v>
      </c>
      <c r="B119" s="30" t="s">
        <v>64</v>
      </c>
      <c r="C119" s="31">
        <v>1.36</v>
      </c>
      <c r="D119" s="31">
        <v>22.058823529411764</v>
      </c>
      <c r="E119" s="31">
        <v>18</v>
      </c>
      <c r="F119" s="31">
        <v>30</v>
      </c>
      <c r="G119" s="31">
        <v>5.5200000000000005</v>
      </c>
      <c r="H119" s="30" t="s">
        <v>11</v>
      </c>
    </row>
    <row r="120" spans="1:8" x14ac:dyDescent="0.25">
      <c r="A120" s="29">
        <v>46252</v>
      </c>
      <c r="B120" s="30" t="s">
        <v>16</v>
      </c>
      <c r="C120" s="31">
        <v>2.4700000000000002</v>
      </c>
      <c r="D120" s="31">
        <v>16.194331983805668</v>
      </c>
      <c r="E120" s="31">
        <v>15.126891734575088</v>
      </c>
      <c r="F120" s="31">
        <v>40</v>
      </c>
      <c r="G120" s="31">
        <v>2.6365774155995343</v>
      </c>
      <c r="H120" s="30" t="s">
        <v>11</v>
      </c>
    </row>
    <row r="121" spans="1:8" x14ac:dyDescent="0.25">
      <c r="A121" s="29">
        <v>46252</v>
      </c>
      <c r="B121" s="30" t="s">
        <v>27</v>
      </c>
      <c r="C121" s="31">
        <v>2</v>
      </c>
      <c r="D121" s="31">
        <v>22</v>
      </c>
      <c r="E121" s="31">
        <v>21</v>
      </c>
      <c r="F121" s="31">
        <v>44</v>
      </c>
      <c r="G121" s="31">
        <v>2</v>
      </c>
      <c r="H121" s="30" t="s">
        <v>18</v>
      </c>
    </row>
    <row r="122" spans="1:8" x14ac:dyDescent="0.25">
      <c r="A122" s="29">
        <v>46252</v>
      </c>
      <c r="B122" s="30" t="s">
        <v>26</v>
      </c>
      <c r="C122" s="31">
        <v>1</v>
      </c>
      <c r="D122" s="31">
        <v>27</v>
      </c>
      <c r="E122" s="31">
        <v>24.558823529411764</v>
      </c>
      <c r="F122" s="31">
        <v>27</v>
      </c>
      <c r="G122" s="31">
        <v>2.4411764705882355</v>
      </c>
      <c r="H122" s="30" t="s">
        <v>25</v>
      </c>
    </row>
    <row r="123" spans="1:8" x14ac:dyDescent="0.25">
      <c r="A123" s="29">
        <v>46252</v>
      </c>
      <c r="B123" s="30" t="s">
        <v>17</v>
      </c>
      <c r="C123" s="31">
        <v>1</v>
      </c>
      <c r="D123" s="31">
        <v>6</v>
      </c>
      <c r="E123" s="31">
        <v>4.4000000000000004</v>
      </c>
      <c r="F123" s="31">
        <v>6</v>
      </c>
      <c r="G123" s="31">
        <v>1.5999999999999996</v>
      </c>
      <c r="H123" s="30" t="s">
        <v>18</v>
      </c>
    </row>
    <row r="124" spans="1:8" x14ac:dyDescent="0.25">
      <c r="A124" s="29">
        <v>46252</v>
      </c>
      <c r="B124" s="30" t="s">
        <v>23</v>
      </c>
      <c r="C124" s="31">
        <v>1.52</v>
      </c>
      <c r="D124" s="31">
        <v>16.44736842105263</v>
      </c>
      <c r="E124" s="31">
        <v>16</v>
      </c>
      <c r="F124" s="31">
        <v>25</v>
      </c>
      <c r="G124" s="31">
        <v>0.67999999999999772</v>
      </c>
      <c r="H124" s="30" t="s">
        <v>11</v>
      </c>
    </row>
    <row r="125" spans="1:8" x14ac:dyDescent="0.25">
      <c r="A125" s="34">
        <v>46253</v>
      </c>
      <c r="B125" s="35" t="s">
        <v>24</v>
      </c>
      <c r="C125" s="36">
        <v>2</v>
      </c>
      <c r="D125" s="36">
        <v>9</v>
      </c>
      <c r="E125" s="36">
        <v>7</v>
      </c>
      <c r="F125" s="36">
        <v>18</v>
      </c>
      <c r="G125" s="36">
        <v>4</v>
      </c>
      <c r="H125" s="35" t="s">
        <v>25</v>
      </c>
    </row>
    <row r="126" spans="1:8" x14ac:dyDescent="0.25">
      <c r="A126" s="34">
        <v>46253</v>
      </c>
      <c r="B126" s="35" t="s">
        <v>26</v>
      </c>
      <c r="C126" s="36">
        <v>1</v>
      </c>
      <c r="D126" s="36">
        <v>28</v>
      </c>
      <c r="E126" s="36">
        <v>24.558823529411764</v>
      </c>
      <c r="F126" s="36">
        <v>28</v>
      </c>
      <c r="G126" s="36">
        <v>3.4411764705882355</v>
      </c>
      <c r="H126" s="35" t="s">
        <v>25</v>
      </c>
    </row>
    <row r="127" spans="1:8" x14ac:dyDescent="0.25">
      <c r="A127" s="34">
        <v>46253</v>
      </c>
      <c r="B127" s="35" t="s">
        <v>15</v>
      </c>
      <c r="C127" s="36">
        <v>1.75</v>
      </c>
      <c r="D127" s="36">
        <v>16</v>
      </c>
      <c r="E127" s="36">
        <v>14.735868991019546</v>
      </c>
      <c r="F127" s="36">
        <v>28</v>
      </c>
      <c r="G127" s="36">
        <v>2.2122292657157954</v>
      </c>
      <c r="H127" s="35" t="s">
        <v>11</v>
      </c>
    </row>
    <row r="128" spans="1:8" x14ac:dyDescent="0.25">
      <c r="A128" s="34">
        <v>46253</v>
      </c>
      <c r="B128" s="35" t="s">
        <v>15</v>
      </c>
      <c r="C128" s="36">
        <v>1.93</v>
      </c>
      <c r="D128" s="36">
        <v>16.062176165803109</v>
      </c>
      <c r="E128" s="36">
        <v>14.735868991019546</v>
      </c>
      <c r="F128" s="36">
        <v>31</v>
      </c>
      <c r="G128" s="36">
        <v>2.5597728473322774</v>
      </c>
      <c r="H128" s="35" t="s">
        <v>11</v>
      </c>
    </row>
    <row r="129" spans="1:8" x14ac:dyDescent="0.25">
      <c r="A129" s="34">
        <v>46253</v>
      </c>
      <c r="B129" s="35" t="s">
        <v>17</v>
      </c>
      <c r="C129" s="36">
        <v>2</v>
      </c>
      <c r="D129" s="36">
        <v>5</v>
      </c>
      <c r="E129" s="36">
        <v>4.4000000000000004</v>
      </c>
      <c r="F129" s="36">
        <v>10</v>
      </c>
      <c r="G129" s="36">
        <v>1.1999999999999993</v>
      </c>
      <c r="H129" s="35" t="s">
        <v>18</v>
      </c>
    </row>
    <row r="130" spans="1:8" x14ac:dyDescent="0.25">
      <c r="A130" s="34">
        <v>46253</v>
      </c>
      <c r="B130" s="35" t="s">
        <v>24</v>
      </c>
      <c r="C130" s="36">
        <v>1</v>
      </c>
      <c r="D130" s="36">
        <v>9</v>
      </c>
      <c r="E130" s="36">
        <v>7</v>
      </c>
      <c r="F130" s="36">
        <v>9</v>
      </c>
      <c r="G130" s="36">
        <v>2</v>
      </c>
      <c r="H130" s="35" t="s">
        <v>25</v>
      </c>
    </row>
    <row r="131" spans="1:8" x14ac:dyDescent="0.25">
      <c r="A131" s="34">
        <v>46253</v>
      </c>
      <c r="B131" s="35" t="s">
        <v>10</v>
      </c>
      <c r="C131" s="36">
        <v>1.01</v>
      </c>
      <c r="D131" s="36">
        <v>18.811881188118811</v>
      </c>
      <c r="E131" s="36">
        <v>16.759807549962989</v>
      </c>
      <c r="F131" s="36">
        <v>19</v>
      </c>
      <c r="G131" s="36">
        <v>2.0725943745373798</v>
      </c>
      <c r="H131" s="35" t="s">
        <v>11</v>
      </c>
    </row>
    <row r="132" spans="1:8" x14ac:dyDescent="0.25">
      <c r="A132" s="34">
        <v>46253</v>
      </c>
      <c r="B132" s="35" t="s">
        <v>27</v>
      </c>
      <c r="C132" s="36">
        <v>2</v>
      </c>
      <c r="D132" s="36">
        <v>22</v>
      </c>
      <c r="E132" s="36">
        <v>21</v>
      </c>
      <c r="F132" s="36">
        <v>44</v>
      </c>
      <c r="G132" s="36">
        <v>2</v>
      </c>
      <c r="H132" s="35" t="s">
        <v>18</v>
      </c>
    </row>
    <row r="133" spans="1:8" x14ac:dyDescent="0.25">
      <c r="A133" s="34">
        <v>46253</v>
      </c>
      <c r="B133" s="35" t="s">
        <v>26</v>
      </c>
      <c r="C133" s="36">
        <v>1</v>
      </c>
      <c r="D133" s="36">
        <v>26</v>
      </c>
      <c r="E133" s="36">
        <v>24.558823529411764</v>
      </c>
      <c r="F133" s="36">
        <v>26</v>
      </c>
      <c r="G133" s="36">
        <v>1.4411764705882355</v>
      </c>
      <c r="H133" s="35" t="s">
        <v>25</v>
      </c>
    </row>
    <row r="134" spans="1:8" x14ac:dyDescent="0.25">
      <c r="A134" s="34">
        <v>46253</v>
      </c>
      <c r="B134" s="35" t="s">
        <v>22</v>
      </c>
      <c r="C134" s="36">
        <v>1</v>
      </c>
      <c r="D134" s="36">
        <v>15</v>
      </c>
      <c r="E134" s="36">
        <v>14</v>
      </c>
      <c r="F134" s="36">
        <v>15</v>
      </c>
      <c r="G134" s="36">
        <v>1</v>
      </c>
      <c r="H134" s="35" t="s">
        <v>18</v>
      </c>
    </row>
    <row r="135" spans="1:8" x14ac:dyDescent="0.25">
      <c r="A135" s="34">
        <v>46253</v>
      </c>
      <c r="B135" s="35" t="s">
        <v>62</v>
      </c>
      <c r="C135" s="36">
        <v>1</v>
      </c>
      <c r="D135" s="36">
        <v>14</v>
      </c>
      <c r="E135" s="36">
        <v>12</v>
      </c>
      <c r="F135" s="36">
        <v>14</v>
      </c>
      <c r="G135" s="36">
        <v>2</v>
      </c>
      <c r="H135" s="35" t="s">
        <v>18</v>
      </c>
    </row>
    <row r="136" spans="1:8" x14ac:dyDescent="0.25">
      <c r="A136" s="34">
        <v>46253</v>
      </c>
      <c r="B136" s="35" t="s">
        <v>16</v>
      </c>
      <c r="C136" s="36">
        <v>2.0099999999999998</v>
      </c>
      <c r="D136" s="36">
        <v>17.412935323383085</v>
      </c>
      <c r="E136" s="36">
        <v>15.126891734575088</v>
      </c>
      <c r="F136" s="36">
        <v>35</v>
      </c>
      <c r="G136" s="36">
        <v>4.5949476135040737</v>
      </c>
      <c r="H136" s="35" t="s">
        <v>11</v>
      </c>
    </row>
    <row r="137" spans="1:8" x14ac:dyDescent="0.25">
      <c r="A137" s="34">
        <v>46253</v>
      </c>
      <c r="B137" s="35" t="s">
        <v>12</v>
      </c>
      <c r="C137" s="36">
        <v>1.6</v>
      </c>
      <c r="D137" s="36">
        <v>20.625</v>
      </c>
      <c r="E137" s="36">
        <v>18</v>
      </c>
      <c r="F137" s="36">
        <v>33</v>
      </c>
      <c r="G137" s="36">
        <v>4.2</v>
      </c>
      <c r="H137" s="35" t="s">
        <v>11</v>
      </c>
    </row>
    <row r="138" spans="1:8" x14ac:dyDescent="0.25">
      <c r="A138" s="34">
        <v>46253</v>
      </c>
      <c r="B138" s="35" t="s">
        <v>62</v>
      </c>
      <c r="C138" s="36">
        <v>1</v>
      </c>
      <c r="D138" s="36">
        <v>15</v>
      </c>
      <c r="E138" s="36">
        <v>12</v>
      </c>
      <c r="F138" s="36">
        <v>15</v>
      </c>
      <c r="G138" s="36">
        <v>3</v>
      </c>
      <c r="H138" s="35" t="s">
        <v>18</v>
      </c>
    </row>
    <row r="139" spans="1:8" x14ac:dyDescent="0.25">
      <c r="A139" s="34">
        <v>46253</v>
      </c>
      <c r="B139" s="35" t="s">
        <v>26</v>
      </c>
      <c r="C139" s="36">
        <v>1</v>
      </c>
      <c r="D139" s="36">
        <v>35</v>
      </c>
      <c r="E139" s="36">
        <v>24.558823529411764</v>
      </c>
      <c r="F139" s="36">
        <v>35</v>
      </c>
      <c r="G139" s="36">
        <v>10.441176470588236</v>
      </c>
      <c r="H139" s="35" t="s">
        <v>25</v>
      </c>
    </row>
    <row r="140" spans="1:8" x14ac:dyDescent="0.25">
      <c r="A140" s="34">
        <v>46253</v>
      </c>
      <c r="B140" s="35" t="s">
        <v>19</v>
      </c>
      <c r="C140" s="36">
        <v>2</v>
      </c>
      <c r="D140" s="36">
        <v>11</v>
      </c>
      <c r="E140" s="36">
        <v>10</v>
      </c>
      <c r="F140" s="36">
        <v>22</v>
      </c>
      <c r="G140" s="36">
        <v>2</v>
      </c>
      <c r="H140" s="35" t="s">
        <v>18</v>
      </c>
    </row>
    <row r="141" spans="1:8" x14ac:dyDescent="0.25">
      <c r="A141" s="34">
        <v>46253</v>
      </c>
      <c r="B141" s="35" t="s">
        <v>66</v>
      </c>
      <c r="C141" s="36">
        <v>0.73</v>
      </c>
      <c r="D141" s="36">
        <v>27.397260273972602</v>
      </c>
      <c r="E141" s="36">
        <v>23.5</v>
      </c>
      <c r="F141" s="36">
        <v>20</v>
      </c>
      <c r="G141" s="36">
        <v>2.8449999999999993</v>
      </c>
      <c r="H141" s="35" t="s">
        <v>11</v>
      </c>
    </row>
    <row r="142" spans="1:8" x14ac:dyDescent="0.25">
      <c r="A142" s="34">
        <v>46253</v>
      </c>
      <c r="B142" s="35" t="s">
        <v>66</v>
      </c>
      <c r="C142" s="36">
        <v>0.65</v>
      </c>
      <c r="D142" s="36">
        <v>27.69230769230769</v>
      </c>
      <c r="E142" s="36">
        <v>23.5</v>
      </c>
      <c r="F142" s="36">
        <v>18</v>
      </c>
      <c r="G142" s="36">
        <v>2.7249999999999983</v>
      </c>
      <c r="H142" s="35" t="s">
        <v>11</v>
      </c>
    </row>
    <row r="143" spans="1:8" x14ac:dyDescent="0.25">
      <c r="A143" s="34">
        <v>46253</v>
      </c>
      <c r="B143" s="35" t="s">
        <v>20</v>
      </c>
      <c r="C143" s="36">
        <v>1</v>
      </c>
      <c r="D143" s="36">
        <v>30</v>
      </c>
      <c r="E143" s="36">
        <v>27</v>
      </c>
      <c r="F143" s="36">
        <v>30</v>
      </c>
      <c r="G143" s="36">
        <v>3</v>
      </c>
      <c r="H143" s="35" t="s">
        <v>11</v>
      </c>
    </row>
    <row r="144" spans="1:8" x14ac:dyDescent="0.25">
      <c r="A144" s="34">
        <v>46253</v>
      </c>
      <c r="B144" s="35" t="s">
        <v>62</v>
      </c>
      <c r="C144" s="36">
        <v>1</v>
      </c>
      <c r="D144" s="36">
        <v>13</v>
      </c>
      <c r="E144" s="36">
        <v>12</v>
      </c>
      <c r="F144" s="36">
        <v>13</v>
      </c>
      <c r="G144" s="36">
        <v>1</v>
      </c>
      <c r="H144" s="35" t="s">
        <v>18</v>
      </c>
    </row>
    <row r="145" spans="1:8" x14ac:dyDescent="0.25">
      <c r="A145" s="34">
        <v>46253</v>
      </c>
      <c r="B145" s="35" t="s">
        <v>24</v>
      </c>
      <c r="C145" s="36">
        <v>1</v>
      </c>
      <c r="D145" s="36">
        <v>10</v>
      </c>
      <c r="E145" s="36">
        <v>7</v>
      </c>
      <c r="F145" s="36">
        <v>10</v>
      </c>
      <c r="G145" s="36">
        <v>3</v>
      </c>
      <c r="H145" s="35" t="s">
        <v>25</v>
      </c>
    </row>
    <row r="146" spans="1:8" x14ac:dyDescent="0.25">
      <c r="A146" s="34">
        <v>46253</v>
      </c>
      <c r="B146" s="35" t="s">
        <v>10</v>
      </c>
      <c r="C146" s="36">
        <v>1.07</v>
      </c>
      <c r="D146" s="36">
        <v>18.691588785046729</v>
      </c>
      <c r="E146" s="36">
        <v>16.759807549962989</v>
      </c>
      <c r="F146" s="36">
        <v>20</v>
      </c>
      <c r="G146" s="36">
        <v>2.0670059215396019</v>
      </c>
      <c r="H146" s="35" t="s">
        <v>11</v>
      </c>
    </row>
    <row r="147" spans="1:8" x14ac:dyDescent="0.25">
      <c r="A147" s="24">
        <v>46254</v>
      </c>
      <c r="B147" s="23" t="s">
        <v>16</v>
      </c>
      <c r="C147" s="25">
        <v>2.36</v>
      </c>
      <c r="D147" s="25">
        <v>16.101694915254239</v>
      </c>
      <c r="E147" s="25">
        <v>15.126891734575088</v>
      </c>
      <c r="F147" s="25">
        <v>38</v>
      </c>
      <c r="G147" s="25">
        <v>2.300535506402797</v>
      </c>
      <c r="H147" s="23" t="s">
        <v>11</v>
      </c>
    </row>
    <row r="148" spans="1:8" x14ac:dyDescent="0.25">
      <c r="A148" s="24">
        <v>46254</v>
      </c>
      <c r="B148" s="23" t="s">
        <v>64</v>
      </c>
      <c r="C148" s="25">
        <v>1.1000000000000001</v>
      </c>
      <c r="D148" s="25">
        <v>19.09090909090909</v>
      </c>
      <c r="E148" s="25">
        <v>18</v>
      </c>
      <c r="F148" s="25">
        <v>21</v>
      </c>
      <c r="G148" s="25">
        <v>1.1999999999999991</v>
      </c>
      <c r="H148" s="23" t="s">
        <v>11</v>
      </c>
    </row>
    <row r="149" spans="1:8" x14ac:dyDescent="0.25">
      <c r="A149" s="24">
        <v>46254</v>
      </c>
      <c r="B149" s="23" t="s">
        <v>64</v>
      </c>
      <c r="C149" s="25">
        <v>1.24</v>
      </c>
      <c r="D149" s="25">
        <v>19.35483870967742</v>
      </c>
      <c r="E149" s="25">
        <v>18</v>
      </c>
      <c r="F149" s="25">
        <v>24</v>
      </c>
      <c r="G149" s="25">
        <v>1.6800000000000006</v>
      </c>
      <c r="H149" s="23" t="s">
        <v>11</v>
      </c>
    </row>
    <row r="150" spans="1:8" x14ac:dyDescent="0.25">
      <c r="A150" s="24">
        <v>46254</v>
      </c>
      <c r="B150" s="23" t="s">
        <v>15</v>
      </c>
      <c r="C150" s="25">
        <v>1.54</v>
      </c>
      <c r="D150" s="25">
        <v>15.584415584415584</v>
      </c>
      <c r="E150" s="25">
        <v>14.735868991019546</v>
      </c>
      <c r="F150" s="25">
        <v>24</v>
      </c>
      <c r="G150" s="25">
        <v>1.3067617538298997</v>
      </c>
      <c r="H150" s="23" t="s">
        <v>11</v>
      </c>
    </row>
    <row r="151" spans="1:8" x14ac:dyDescent="0.25">
      <c r="A151" s="24">
        <v>46254</v>
      </c>
      <c r="B151" s="23" t="s">
        <v>20</v>
      </c>
      <c r="C151" s="25">
        <v>0.43</v>
      </c>
      <c r="D151" s="25">
        <v>30.232558139534884</v>
      </c>
      <c r="E151" s="25">
        <v>27</v>
      </c>
      <c r="F151" s="25">
        <v>13</v>
      </c>
      <c r="G151" s="25">
        <v>1.3900000000000001</v>
      </c>
      <c r="H151" s="23" t="s">
        <v>11</v>
      </c>
    </row>
    <row r="152" spans="1:8" x14ac:dyDescent="0.25">
      <c r="A152" s="24">
        <v>46254</v>
      </c>
      <c r="B152" s="23" t="s">
        <v>63</v>
      </c>
      <c r="C152" s="25">
        <v>1</v>
      </c>
      <c r="D152" s="25">
        <v>8</v>
      </c>
      <c r="E152" s="25">
        <v>6.666666666666667</v>
      </c>
      <c r="F152" s="25">
        <v>8</v>
      </c>
      <c r="G152" s="25">
        <v>1.333333333333333</v>
      </c>
      <c r="H152" s="23" t="s">
        <v>18</v>
      </c>
    </row>
    <row r="153" spans="1:8" x14ac:dyDescent="0.25">
      <c r="A153" s="24">
        <v>46254</v>
      </c>
      <c r="B153" s="23" t="s">
        <v>26</v>
      </c>
      <c r="C153" s="25">
        <v>1</v>
      </c>
      <c r="D153" s="25">
        <v>26</v>
      </c>
      <c r="E153" s="25">
        <v>24.558823529411764</v>
      </c>
      <c r="F153" s="25">
        <v>26</v>
      </c>
      <c r="G153" s="25">
        <v>1.4411764705882355</v>
      </c>
      <c r="H153" s="23" t="s">
        <v>25</v>
      </c>
    </row>
    <row r="154" spans="1:8" x14ac:dyDescent="0.25">
      <c r="A154" s="24">
        <v>46254</v>
      </c>
      <c r="B154" s="23" t="s">
        <v>66</v>
      </c>
      <c r="C154" s="25">
        <v>0.6</v>
      </c>
      <c r="D154" s="25">
        <v>30</v>
      </c>
      <c r="E154" s="25">
        <v>23.5</v>
      </c>
      <c r="F154" s="25">
        <v>18</v>
      </c>
      <c r="G154" s="25">
        <v>3.9</v>
      </c>
      <c r="H154" s="23" t="s">
        <v>11</v>
      </c>
    </row>
    <row r="155" spans="1:8" x14ac:dyDescent="0.25">
      <c r="A155" s="24">
        <v>46254</v>
      </c>
      <c r="B155" s="23" t="s">
        <v>15</v>
      </c>
      <c r="C155" s="25">
        <v>1.73</v>
      </c>
      <c r="D155" s="25">
        <v>16.76300578034682</v>
      </c>
      <c r="E155" s="25">
        <v>14.735868991019546</v>
      </c>
      <c r="F155" s="25">
        <v>29</v>
      </c>
      <c r="G155" s="25">
        <v>3.5069466455361846</v>
      </c>
      <c r="H155" s="23" t="s">
        <v>11</v>
      </c>
    </row>
    <row r="156" spans="1:8" x14ac:dyDescent="0.25">
      <c r="A156" s="24">
        <v>46254</v>
      </c>
      <c r="B156" s="23" t="s">
        <v>23</v>
      </c>
      <c r="C156" s="25">
        <v>1.32</v>
      </c>
      <c r="D156" s="25">
        <v>17.424242424242422</v>
      </c>
      <c r="E156" s="25">
        <v>16</v>
      </c>
      <c r="F156" s="25">
        <v>23</v>
      </c>
      <c r="G156" s="25">
        <v>1.8799999999999972</v>
      </c>
      <c r="H156" s="23" t="s">
        <v>11</v>
      </c>
    </row>
    <row r="157" spans="1:8" x14ac:dyDescent="0.25">
      <c r="A157" s="24">
        <v>46254</v>
      </c>
      <c r="B157" s="23" t="s">
        <v>20</v>
      </c>
      <c r="C157" s="25">
        <v>0.81</v>
      </c>
      <c r="D157" s="25">
        <v>29.629629629629626</v>
      </c>
      <c r="E157" s="25">
        <v>27</v>
      </c>
      <c r="F157" s="25">
        <v>24</v>
      </c>
      <c r="G157" s="25">
        <v>2.1299999999999972</v>
      </c>
      <c r="H157" s="23" t="s">
        <v>11</v>
      </c>
    </row>
    <row r="158" spans="1:8" x14ac:dyDescent="0.25">
      <c r="A158" s="24">
        <v>46254</v>
      </c>
      <c r="B158" s="23" t="s">
        <v>21</v>
      </c>
      <c r="C158" s="25">
        <v>3</v>
      </c>
      <c r="D158" s="25">
        <v>17</v>
      </c>
      <c r="E158" s="25">
        <v>15.333333333333334</v>
      </c>
      <c r="F158" s="25">
        <v>51</v>
      </c>
      <c r="G158" s="25">
        <v>4.9999999999999982</v>
      </c>
      <c r="H158" s="23" t="s">
        <v>18</v>
      </c>
    </row>
    <row r="159" spans="1:8" x14ac:dyDescent="0.25">
      <c r="A159" s="24">
        <v>46254</v>
      </c>
      <c r="B159" s="23" t="s">
        <v>13</v>
      </c>
      <c r="C159" s="25">
        <v>2.65</v>
      </c>
      <c r="D159" s="25">
        <v>20</v>
      </c>
      <c r="E159" s="25">
        <v>17.641139421700544</v>
      </c>
      <c r="F159" s="25">
        <v>53</v>
      </c>
      <c r="G159" s="25">
        <v>6.2509805324935588</v>
      </c>
      <c r="H159" s="23" t="s">
        <v>11</v>
      </c>
    </row>
    <row r="160" spans="1:8" x14ac:dyDescent="0.25">
      <c r="A160" s="24">
        <v>46254</v>
      </c>
      <c r="B160" s="23" t="s">
        <v>13</v>
      </c>
      <c r="C160" s="25">
        <v>2.75</v>
      </c>
      <c r="D160" s="25">
        <v>19.272727272727273</v>
      </c>
      <c r="E160" s="25">
        <v>17.641139421700544</v>
      </c>
      <c r="F160" s="25">
        <v>53</v>
      </c>
      <c r="G160" s="25">
        <v>4.4868665903235065</v>
      </c>
      <c r="H160" s="23" t="s">
        <v>11</v>
      </c>
    </row>
    <row r="161" spans="1:8" x14ac:dyDescent="0.25">
      <c r="A161" s="26">
        <v>46255</v>
      </c>
      <c r="B161" s="27" t="s">
        <v>26</v>
      </c>
      <c r="C161" s="28">
        <v>4</v>
      </c>
      <c r="D161" s="28">
        <v>27</v>
      </c>
      <c r="E161" s="28">
        <v>24.558823529411764</v>
      </c>
      <c r="F161" s="28">
        <v>108</v>
      </c>
      <c r="G161" s="28">
        <v>9.764705882352942</v>
      </c>
      <c r="H161" s="27" t="s">
        <v>25</v>
      </c>
    </row>
    <row r="162" spans="1:8" x14ac:dyDescent="0.25">
      <c r="A162" s="26">
        <v>46255</v>
      </c>
      <c r="B162" s="27" t="s">
        <v>63</v>
      </c>
      <c r="C162" s="28">
        <v>1</v>
      </c>
      <c r="D162" s="28">
        <v>8</v>
      </c>
      <c r="E162" s="28">
        <v>6.666666666666667</v>
      </c>
      <c r="F162" s="28">
        <v>8</v>
      </c>
      <c r="G162" s="28">
        <v>1.333333333333333</v>
      </c>
      <c r="H162" s="27" t="s">
        <v>18</v>
      </c>
    </row>
    <row r="163" spans="1:8" x14ac:dyDescent="0.25">
      <c r="A163" s="26">
        <v>46255</v>
      </c>
      <c r="B163" s="27" t="s">
        <v>15</v>
      </c>
      <c r="C163" s="28">
        <v>1.57</v>
      </c>
      <c r="D163" s="28">
        <v>19.108280254777068</v>
      </c>
      <c r="E163" s="28">
        <v>14.735868991019546</v>
      </c>
      <c r="F163" s="28">
        <v>30</v>
      </c>
      <c r="G163" s="28">
        <v>6.8646856840993102</v>
      </c>
      <c r="H163" s="27" t="s">
        <v>11</v>
      </c>
    </row>
    <row r="164" spans="1:8" x14ac:dyDescent="0.25">
      <c r="A164" s="26">
        <v>46255</v>
      </c>
      <c r="B164" s="27" t="s">
        <v>24</v>
      </c>
      <c r="C164" s="28">
        <v>1</v>
      </c>
      <c r="D164" s="28">
        <v>10</v>
      </c>
      <c r="E164" s="28">
        <v>7</v>
      </c>
      <c r="F164" s="28">
        <v>10</v>
      </c>
      <c r="G164" s="28">
        <v>3</v>
      </c>
      <c r="H164" s="27" t="s">
        <v>25</v>
      </c>
    </row>
    <row r="165" spans="1:8" x14ac:dyDescent="0.25">
      <c r="A165" s="26">
        <v>46255</v>
      </c>
      <c r="B165" s="27" t="s">
        <v>16</v>
      </c>
      <c r="C165" s="28">
        <v>5.75</v>
      </c>
      <c r="D165" s="28">
        <v>16</v>
      </c>
      <c r="E165" s="28">
        <v>15.126891734575088</v>
      </c>
      <c r="F165" s="28">
        <v>92</v>
      </c>
      <c r="G165" s="28">
        <v>5.0203725261932473</v>
      </c>
      <c r="H165" s="27" t="s">
        <v>11</v>
      </c>
    </row>
    <row r="166" spans="1:8" x14ac:dyDescent="0.25">
      <c r="A166" s="26">
        <v>46255</v>
      </c>
      <c r="B166" s="27" t="s">
        <v>24</v>
      </c>
      <c r="C166" s="28">
        <v>1</v>
      </c>
      <c r="D166" s="28">
        <v>10</v>
      </c>
      <c r="E166" s="28">
        <v>7</v>
      </c>
      <c r="F166" s="28">
        <v>10</v>
      </c>
      <c r="G166" s="28">
        <v>3</v>
      </c>
      <c r="H166" s="27" t="s">
        <v>25</v>
      </c>
    </row>
    <row r="167" spans="1:8" x14ac:dyDescent="0.25">
      <c r="A167" s="26">
        <v>46255</v>
      </c>
      <c r="B167" s="27" t="s">
        <v>21</v>
      </c>
      <c r="C167" s="28">
        <v>1</v>
      </c>
      <c r="D167" s="28">
        <v>17</v>
      </c>
      <c r="E167" s="28">
        <v>15.333333333333334</v>
      </c>
      <c r="F167" s="28">
        <v>17</v>
      </c>
      <c r="G167" s="28">
        <v>1.6666666666666661</v>
      </c>
      <c r="H167" s="27" t="s">
        <v>18</v>
      </c>
    </row>
    <row r="168" spans="1:8" x14ac:dyDescent="0.25">
      <c r="A168" s="26">
        <v>46255</v>
      </c>
      <c r="B168" s="27" t="s">
        <v>12</v>
      </c>
      <c r="C168" s="28">
        <v>1.9</v>
      </c>
      <c r="D168" s="28">
        <v>19.473684210526315</v>
      </c>
      <c r="E168" s="28">
        <v>18</v>
      </c>
      <c r="F168" s="28">
        <v>37</v>
      </c>
      <c r="G168" s="28">
        <v>2.7999999999999985</v>
      </c>
      <c r="H168" s="27" t="s">
        <v>11</v>
      </c>
    </row>
    <row r="169" spans="1:8" x14ac:dyDescent="0.25">
      <c r="A169" s="26">
        <v>46255</v>
      </c>
      <c r="B169" s="27" t="s">
        <v>20</v>
      </c>
      <c r="C169" s="28">
        <v>0.45</v>
      </c>
      <c r="D169" s="28">
        <v>31.111111111111111</v>
      </c>
      <c r="E169" s="28">
        <v>27</v>
      </c>
      <c r="F169" s="28">
        <v>14</v>
      </c>
      <c r="G169" s="28">
        <v>1.8499999999999999</v>
      </c>
      <c r="H169" s="27" t="s">
        <v>11</v>
      </c>
    </row>
    <row r="170" spans="1:8" x14ac:dyDescent="0.25">
      <c r="A170" s="26">
        <v>46255</v>
      </c>
      <c r="B170" s="27" t="s">
        <v>13</v>
      </c>
      <c r="C170" s="28">
        <v>2.61</v>
      </c>
      <c r="D170" s="28">
        <v>20.306513409961688</v>
      </c>
      <c r="E170" s="28">
        <v>17.641139421700544</v>
      </c>
      <c r="F170" s="28">
        <v>53</v>
      </c>
      <c r="G170" s="28">
        <v>6.9566261093615873</v>
      </c>
      <c r="H170" s="27" t="s">
        <v>11</v>
      </c>
    </row>
    <row r="171" spans="1:8" x14ac:dyDescent="0.25">
      <c r="A171" s="26">
        <v>46255</v>
      </c>
      <c r="B171" s="27" t="s">
        <v>20</v>
      </c>
      <c r="C171" s="28">
        <v>0.5</v>
      </c>
      <c r="D171" s="28">
        <v>30</v>
      </c>
      <c r="E171" s="28">
        <v>27</v>
      </c>
      <c r="F171" s="28">
        <v>15</v>
      </c>
      <c r="G171" s="28">
        <v>1.5</v>
      </c>
      <c r="H171" s="27" t="s">
        <v>11</v>
      </c>
    </row>
    <row r="172" spans="1:8" x14ac:dyDescent="0.25">
      <c r="A172" s="26">
        <v>46255</v>
      </c>
      <c r="B172" s="27" t="s">
        <v>62</v>
      </c>
      <c r="C172" s="28">
        <v>1</v>
      </c>
      <c r="D172" s="28">
        <v>13</v>
      </c>
      <c r="E172" s="28">
        <v>12</v>
      </c>
      <c r="F172" s="28">
        <v>13</v>
      </c>
      <c r="G172" s="28">
        <v>1</v>
      </c>
      <c r="H172" s="27" t="s">
        <v>18</v>
      </c>
    </row>
    <row r="173" spans="1:8" x14ac:dyDescent="0.25">
      <c r="A173" s="26">
        <v>46255</v>
      </c>
      <c r="B173" s="27" t="s">
        <v>13</v>
      </c>
      <c r="C173" s="28">
        <v>2.14</v>
      </c>
      <c r="D173" s="28">
        <v>18.691588785046729</v>
      </c>
      <c r="E173" s="28">
        <v>17.641139421700544</v>
      </c>
      <c r="F173" s="28">
        <v>40</v>
      </c>
      <c r="G173" s="28">
        <v>2.2479616375608371</v>
      </c>
      <c r="H173" s="27" t="s">
        <v>11</v>
      </c>
    </row>
    <row r="174" spans="1:8" x14ac:dyDescent="0.25">
      <c r="A174" s="26">
        <v>46255</v>
      </c>
      <c r="B174" s="27" t="s">
        <v>26</v>
      </c>
      <c r="C174" s="28">
        <v>1</v>
      </c>
      <c r="D174" s="28">
        <v>30</v>
      </c>
      <c r="E174" s="28">
        <v>24.558823529411764</v>
      </c>
      <c r="F174" s="28">
        <v>30</v>
      </c>
      <c r="G174" s="28">
        <v>5.4411764705882355</v>
      </c>
      <c r="H174" s="27" t="s">
        <v>25</v>
      </c>
    </row>
    <row r="175" spans="1:8" x14ac:dyDescent="0.25">
      <c r="A175" s="26">
        <v>46255</v>
      </c>
      <c r="B175" s="27" t="s">
        <v>13</v>
      </c>
      <c r="C175" s="28">
        <v>2.25</v>
      </c>
      <c r="D175" s="28">
        <v>20</v>
      </c>
      <c r="E175" s="28">
        <v>17.641139421700544</v>
      </c>
      <c r="F175" s="28">
        <v>45</v>
      </c>
      <c r="G175" s="28">
        <v>5.3074363011737766</v>
      </c>
      <c r="H175" s="27" t="s">
        <v>11</v>
      </c>
    </row>
    <row r="176" spans="1:8" x14ac:dyDescent="0.25">
      <c r="A176" s="26">
        <v>46255</v>
      </c>
      <c r="B176" s="27" t="s">
        <v>12</v>
      </c>
      <c r="C176" s="28">
        <v>1.75</v>
      </c>
      <c r="D176" s="28">
        <v>20</v>
      </c>
      <c r="E176" s="28">
        <v>18</v>
      </c>
      <c r="F176" s="28">
        <v>35</v>
      </c>
      <c r="G176" s="28">
        <v>3.5</v>
      </c>
      <c r="H176" s="27" t="s">
        <v>11</v>
      </c>
    </row>
    <row r="177" spans="1:8" x14ac:dyDescent="0.25">
      <c r="A177" s="26">
        <v>46255</v>
      </c>
      <c r="B177" s="27" t="s">
        <v>17</v>
      </c>
      <c r="C177" s="28">
        <v>3</v>
      </c>
      <c r="D177" s="28">
        <v>6</v>
      </c>
      <c r="E177" s="28">
        <v>4.4000000000000004</v>
      </c>
      <c r="F177" s="28">
        <v>18</v>
      </c>
      <c r="G177" s="28">
        <v>4.7999999999999989</v>
      </c>
      <c r="H177" s="27" t="s">
        <v>18</v>
      </c>
    </row>
    <row r="178" spans="1:8" x14ac:dyDescent="0.25">
      <c r="A178" s="26">
        <v>46255</v>
      </c>
      <c r="B178" s="27" t="s">
        <v>20</v>
      </c>
      <c r="C178" s="28">
        <v>0.72</v>
      </c>
      <c r="D178" s="28">
        <v>29.166666666666668</v>
      </c>
      <c r="E178" s="28">
        <v>27</v>
      </c>
      <c r="F178" s="28">
        <v>21</v>
      </c>
      <c r="G178" s="28">
        <v>1.5600000000000007</v>
      </c>
      <c r="H178" s="27" t="s">
        <v>11</v>
      </c>
    </row>
    <row r="179" spans="1:8" x14ac:dyDescent="0.25">
      <c r="A179" s="26">
        <v>46255</v>
      </c>
      <c r="B179" s="27" t="s">
        <v>26</v>
      </c>
      <c r="C179" s="28">
        <v>1</v>
      </c>
      <c r="D179" s="28">
        <v>26</v>
      </c>
      <c r="E179" s="28">
        <v>24.558823529411764</v>
      </c>
      <c r="F179" s="28">
        <v>26</v>
      </c>
      <c r="G179" s="28">
        <v>1.4411764705882355</v>
      </c>
      <c r="H179" s="27" t="s">
        <v>25</v>
      </c>
    </row>
    <row r="180" spans="1:8" x14ac:dyDescent="0.25">
      <c r="A180" s="26">
        <v>46255</v>
      </c>
      <c r="B180" s="27" t="s">
        <v>66</v>
      </c>
      <c r="C180" s="28">
        <v>0.72</v>
      </c>
      <c r="D180" s="28">
        <v>29.166666666666668</v>
      </c>
      <c r="E180" s="28">
        <v>23.5</v>
      </c>
      <c r="F180" s="28">
        <v>21</v>
      </c>
      <c r="G180" s="28">
        <v>4.080000000000001</v>
      </c>
      <c r="H180" s="27" t="s">
        <v>11</v>
      </c>
    </row>
    <row r="181" spans="1:8" x14ac:dyDescent="0.25">
      <c r="A181" s="29">
        <v>46256</v>
      </c>
      <c r="B181" s="30" t="s">
        <v>64</v>
      </c>
      <c r="C181" s="31">
        <v>1.4</v>
      </c>
      <c r="D181" s="31">
        <v>20.714285714285715</v>
      </c>
      <c r="E181" s="31">
        <v>18</v>
      </c>
      <c r="F181" s="31">
        <v>29</v>
      </c>
      <c r="G181" s="31">
        <v>3.8000000000000012</v>
      </c>
      <c r="H181" s="30" t="s">
        <v>11</v>
      </c>
    </row>
    <row r="182" spans="1:8" x14ac:dyDescent="0.25">
      <c r="A182" s="29">
        <v>46256</v>
      </c>
      <c r="B182" s="30" t="s">
        <v>10</v>
      </c>
      <c r="C182" s="31">
        <v>1.28</v>
      </c>
      <c r="D182" s="31">
        <v>17.96875</v>
      </c>
      <c r="E182" s="31">
        <v>16.759807549962989</v>
      </c>
      <c r="F182" s="31">
        <v>23</v>
      </c>
      <c r="G182" s="31">
        <v>1.5474463360473738</v>
      </c>
      <c r="H182" s="30" t="s">
        <v>11</v>
      </c>
    </row>
    <row r="183" spans="1:8" x14ac:dyDescent="0.25">
      <c r="A183" s="29">
        <v>46256</v>
      </c>
      <c r="B183" s="30" t="s">
        <v>10</v>
      </c>
      <c r="C183" s="31">
        <v>1.5</v>
      </c>
      <c r="D183" s="31">
        <v>18</v>
      </c>
      <c r="E183" s="31">
        <v>16.759807549962989</v>
      </c>
      <c r="F183" s="31">
        <v>27</v>
      </c>
      <c r="G183" s="31">
        <v>1.8602886750555161</v>
      </c>
      <c r="H183" s="30" t="s">
        <v>11</v>
      </c>
    </row>
    <row r="184" spans="1:8" x14ac:dyDescent="0.25">
      <c r="A184" s="29">
        <v>46256</v>
      </c>
      <c r="B184" s="30" t="s">
        <v>15</v>
      </c>
      <c r="C184" s="31">
        <v>1.91</v>
      </c>
      <c r="D184" s="31">
        <v>15.706806282722514</v>
      </c>
      <c r="E184" s="31">
        <v>14.735868991019546</v>
      </c>
      <c r="F184" s="31">
        <v>30</v>
      </c>
      <c r="G184" s="31">
        <v>1.85449022715267</v>
      </c>
      <c r="H184" s="30" t="s">
        <v>11</v>
      </c>
    </row>
    <row r="185" spans="1:8" x14ac:dyDescent="0.25">
      <c r="A185" s="29">
        <v>46256</v>
      </c>
      <c r="B185" s="30" t="s">
        <v>13</v>
      </c>
      <c r="C185" s="31">
        <v>2.2999999999999998</v>
      </c>
      <c r="D185" s="31">
        <v>18.260869565217394</v>
      </c>
      <c r="E185" s="31">
        <v>17.641139421700544</v>
      </c>
      <c r="F185" s="31">
        <v>42</v>
      </c>
      <c r="G185" s="31">
        <v>1.4253793300887561</v>
      </c>
      <c r="H185" s="30" t="s">
        <v>11</v>
      </c>
    </row>
    <row r="186" spans="1:8" x14ac:dyDescent="0.25">
      <c r="A186" s="29">
        <v>46256</v>
      </c>
      <c r="B186" s="30" t="s">
        <v>13</v>
      </c>
      <c r="C186" s="31">
        <v>2.08</v>
      </c>
      <c r="D186" s="31">
        <v>17.788461538461537</v>
      </c>
      <c r="E186" s="31">
        <v>17.641139421700544</v>
      </c>
      <c r="F186" s="31">
        <v>37</v>
      </c>
      <c r="G186" s="31">
        <v>0.30643000286286509</v>
      </c>
      <c r="H186" s="30" t="s">
        <v>11</v>
      </c>
    </row>
    <row r="187" spans="1:8" x14ac:dyDescent="0.25">
      <c r="A187" s="29">
        <v>46256</v>
      </c>
      <c r="B187" s="30" t="s">
        <v>15</v>
      </c>
      <c r="C187" s="31">
        <v>1.9</v>
      </c>
      <c r="D187" s="31">
        <v>15.789473684210527</v>
      </c>
      <c r="E187" s="31">
        <v>14.735868991019546</v>
      </c>
      <c r="F187" s="31">
        <v>30</v>
      </c>
      <c r="G187" s="31">
        <v>2.0018489170628655</v>
      </c>
      <c r="H187" s="30" t="s">
        <v>11</v>
      </c>
    </row>
    <row r="188" spans="1:8" x14ac:dyDescent="0.25">
      <c r="A188" s="29">
        <v>46256</v>
      </c>
      <c r="B188" s="30" t="s">
        <v>65</v>
      </c>
      <c r="C188" s="31">
        <v>1</v>
      </c>
      <c r="D188" s="31">
        <v>17</v>
      </c>
      <c r="E188" s="31">
        <v>15</v>
      </c>
      <c r="F188" s="31">
        <v>17</v>
      </c>
      <c r="G188" s="31">
        <v>2</v>
      </c>
      <c r="H188" s="30" t="s">
        <v>18</v>
      </c>
    </row>
    <row r="189" spans="1:8" x14ac:dyDescent="0.25">
      <c r="A189" s="29">
        <v>46256</v>
      </c>
      <c r="B189" s="30" t="s">
        <v>24</v>
      </c>
      <c r="C189" s="31">
        <v>2</v>
      </c>
      <c r="D189" s="31">
        <v>8.5</v>
      </c>
      <c r="E189" s="31">
        <v>7</v>
      </c>
      <c r="F189" s="31">
        <v>17</v>
      </c>
      <c r="G189" s="31">
        <v>3</v>
      </c>
      <c r="H189" s="30" t="s">
        <v>25</v>
      </c>
    </row>
    <row r="190" spans="1:8" x14ac:dyDescent="0.25">
      <c r="A190" s="29">
        <v>46256</v>
      </c>
      <c r="B190" s="30" t="s">
        <v>26</v>
      </c>
      <c r="C190" s="31">
        <v>1</v>
      </c>
      <c r="D190" s="31">
        <v>27</v>
      </c>
      <c r="E190" s="31">
        <v>24.558823529411764</v>
      </c>
      <c r="F190" s="31">
        <v>27</v>
      </c>
      <c r="G190" s="31">
        <v>2.4411764705882355</v>
      </c>
      <c r="H190" s="30" t="s">
        <v>25</v>
      </c>
    </row>
    <row r="191" spans="1:8" x14ac:dyDescent="0.25">
      <c r="A191" s="29">
        <v>46256</v>
      </c>
      <c r="B191" s="30" t="s">
        <v>62</v>
      </c>
      <c r="C191" s="31">
        <v>1</v>
      </c>
      <c r="D191" s="31">
        <v>13</v>
      </c>
      <c r="E191" s="31">
        <v>12</v>
      </c>
      <c r="F191" s="31">
        <v>13</v>
      </c>
      <c r="G191" s="31">
        <v>1</v>
      </c>
      <c r="H191" s="30" t="s">
        <v>18</v>
      </c>
    </row>
    <row r="192" spans="1:8" x14ac:dyDescent="0.25">
      <c r="A192" s="29">
        <v>46256</v>
      </c>
      <c r="B192" s="30" t="s">
        <v>15</v>
      </c>
      <c r="C192" s="31">
        <v>1.63</v>
      </c>
      <c r="D192" s="31">
        <v>15.950920245398773</v>
      </c>
      <c r="E192" s="31">
        <v>14.735868991019546</v>
      </c>
      <c r="F192" s="31">
        <v>26</v>
      </c>
      <c r="G192" s="31">
        <v>1.9805335446381411</v>
      </c>
      <c r="H192" s="30" t="s">
        <v>11</v>
      </c>
    </row>
    <row r="193" spans="1:8" x14ac:dyDescent="0.25">
      <c r="A193" s="29">
        <v>46256</v>
      </c>
      <c r="B193" s="30" t="s">
        <v>73</v>
      </c>
      <c r="C193" s="31">
        <v>1</v>
      </c>
      <c r="D193" s="31">
        <v>21</v>
      </c>
      <c r="E193" s="31">
        <v>20</v>
      </c>
      <c r="F193" s="31">
        <v>21</v>
      </c>
      <c r="G193" s="31">
        <v>1</v>
      </c>
      <c r="H193" s="30" t="s">
        <v>18</v>
      </c>
    </row>
    <row r="194" spans="1:8" x14ac:dyDescent="0.25">
      <c r="A194" s="34">
        <v>46257</v>
      </c>
      <c r="B194" s="35" t="s">
        <v>72</v>
      </c>
      <c r="C194" s="36">
        <v>3.63</v>
      </c>
      <c r="D194" s="36">
        <v>17.079889807162534</v>
      </c>
      <c r="E194" s="36">
        <v>15.5</v>
      </c>
      <c r="F194" s="36">
        <v>62</v>
      </c>
      <c r="G194" s="36">
        <v>5.7349999999999977</v>
      </c>
      <c r="H194" s="35" t="s">
        <v>11</v>
      </c>
    </row>
    <row r="195" spans="1:8" x14ac:dyDescent="0.25">
      <c r="A195" s="34">
        <v>46257</v>
      </c>
      <c r="B195" s="35" t="s">
        <v>74</v>
      </c>
      <c r="C195" s="36">
        <v>1</v>
      </c>
      <c r="D195" s="36">
        <v>18</v>
      </c>
      <c r="E195" s="36">
        <v>16.5</v>
      </c>
      <c r="F195" s="36">
        <v>18</v>
      </c>
      <c r="G195" s="36">
        <v>1.5</v>
      </c>
      <c r="H195" s="35" t="s">
        <v>11</v>
      </c>
    </row>
    <row r="196" spans="1:8" x14ac:dyDescent="0.25">
      <c r="A196" s="34">
        <v>46257</v>
      </c>
      <c r="B196" s="35" t="s">
        <v>13</v>
      </c>
      <c r="C196" s="36">
        <v>2.95</v>
      </c>
      <c r="D196" s="36">
        <v>18.64406779661017</v>
      </c>
      <c r="E196" s="36">
        <v>17.641139421700544</v>
      </c>
      <c r="F196" s="36">
        <v>55</v>
      </c>
      <c r="G196" s="36">
        <v>2.9586387059833963</v>
      </c>
      <c r="H196" s="35" t="s">
        <v>11</v>
      </c>
    </row>
    <row r="197" spans="1:8" x14ac:dyDescent="0.25">
      <c r="A197" s="34">
        <v>46257</v>
      </c>
      <c r="B197" s="35" t="s">
        <v>26</v>
      </c>
      <c r="C197" s="36">
        <v>1</v>
      </c>
      <c r="D197" s="36">
        <v>27</v>
      </c>
      <c r="E197" s="36">
        <v>24.558823529411764</v>
      </c>
      <c r="F197" s="36">
        <v>27</v>
      </c>
      <c r="G197" s="36">
        <v>2.4411764705882355</v>
      </c>
      <c r="H197" s="35" t="s">
        <v>25</v>
      </c>
    </row>
    <row r="198" spans="1:8" x14ac:dyDescent="0.25">
      <c r="A198" s="34">
        <v>46257</v>
      </c>
      <c r="B198" s="35" t="s">
        <v>73</v>
      </c>
      <c r="C198" s="36">
        <v>1</v>
      </c>
      <c r="D198" s="36">
        <v>22</v>
      </c>
      <c r="E198" s="36">
        <v>20</v>
      </c>
      <c r="F198" s="36">
        <v>22</v>
      </c>
      <c r="G198" s="36">
        <v>2</v>
      </c>
      <c r="H198" s="35" t="s">
        <v>18</v>
      </c>
    </row>
    <row r="199" spans="1:8" x14ac:dyDescent="0.25">
      <c r="A199" s="34">
        <v>46257</v>
      </c>
      <c r="B199" s="35" t="s">
        <v>62</v>
      </c>
      <c r="C199" s="36">
        <v>1</v>
      </c>
      <c r="D199" s="36">
        <v>14</v>
      </c>
      <c r="E199" s="36">
        <v>12</v>
      </c>
      <c r="F199" s="36">
        <v>14</v>
      </c>
      <c r="G199" s="36">
        <v>2</v>
      </c>
      <c r="H199" s="35" t="s">
        <v>18</v>
      </c>
    </row>
    <row r="200" spans="1:8" x14ac:dyDescent="0.25">
      <c r="A200" s="34">
        <v>46257</v>
      </c>
      <c r="B200" s="35" t="s">
        <v>12</v>
      </c>
      <c r="C200" s="36">
        <v>1.63</v>
      </c>
      <c r="D200" s="36">
        <v>19.018404907975462</v>
      </c>
      <c r="E200" s="36">
        <v>18</v>
      </c>
      <c r="F200" s="36">
        <v>31</v>
      </c>
      <c r="G200" s="36">
        <v>1.6600000000000033</v>
      </c>
      <c r="H200" s="35" t="s">
        <v>11</v>
      </c>
    </row>
    <row r="201" spans="1:8" x14ac:dyDescent="0.25">
      <c r="A201" s="34">
        <v>46257</v>
      </c>
      <c r="B201" s="35" t="s">
        <v>20</v>
      </c>
      <c r="C201" s="36">
        <v>0.86</v>
      </c>
      <c r="D201" s="36">
        <v>29.069767441860467</v>
      </c>
      <c r="E201" s="36">
        <v>27</v>
      </c>
      <c r="F201" s="36">
        <v>25</v>
      </c>
      <c r="G201" s="36">
        <v>1.7800000000000016</v>
      </c>
      <c r="H201" s="35" t="s">
        <v>11</v>
      </c>
    </row>
    <row r="202" spans="1:8" x14ac:dyDescent="0.25">
      <c r="A202" s="34">
        <v>46257</v>
      </c>
      <c r="B202" s="35" t="s">
        <v>74</v>
      </c>
      <c r="C202" s="36">
        <v>0.95</v>
      </c>
      <c r="D202" s="36">
        <v>17.894736842105264</v>
      </c>
      <c r="E202" s="36">
        <v>16.5</v>
      </c>
      <c r="F202" s="36">
        <v>17</v>
      </c>
      <c r="G202" s="36">
        <v>1.3250000000000004</v>
      </c>
      <c r="H202" s="35" t="s">
        <v>11</v>
      </c>
    </row>
    <row r="203" spans="1:8" x14ac:dyDescent="0.25">
      <c r="A203" s="34">
        <v>46257</v>
      </c>
      <c r="B203" s="35" t="s">
        <v>24</v>
      </c>
      <c r="C203" s="36">
        <v>1</v>
      </c>
      <c r="D203" s="36">
        <v>10</v>
      </c>
      <c r="E203" s="36">
        <v>7</v>
      </c>
      <c r="F203" s="36">
        <v>10</v>
      </c>
      <c r="G203" s="36">
        <v>3</v>
      </c>
      <c r="H203" s="35" t="s">
        <v>25</v>
      </c>
    </row>
    <row r="204" spans="1:8" x14ac:dyDescent="0.25">
      <c r="A204" s="34">
        <v>46257</v>
      </c>
      <c r="B204" s="35" t="s">
        <v>74</v>
      </c>
      <c r="C204" s="36">
        <v>1.1000000000000001</v>
      </c>
      <c r="D204" s="36">
        <v>18.18181818181818</v>
      </c>
      <c r="E204" s="36">
        <v>16.5</v>
      </c>
      <c r="F204" s="36">
        <v>20</v>
      </c>
      <c r="G204" s="36">
        <v>1.8499999999999981</v>
      </c>
      <c r="H204" s="35" t="s">
        <v>11</v>
      </c>
    </row>
    <row r="205" spans="1:8" x14ac:dyDescent="0.25">
      <c r="A205" s="24">
        <v>46258</v>
      </c>
      <c r="B205" s="23" t="s">
        <v>10</v>
      </c>
      <c r="C205" s="25">
        <v>1.01</v>
      </c>
      <c r="D205" s="25">
        <v>17.821782178217823</v>
      </c>
      <c r="E205" s="25">
        <v>16.759807549962989</v>
      </c>
      <c r="F205" s="25">
        <v>18</v>
      </c>
      <c r="G205" s="25">
        <v>1.0725943745373825</v>
      </c>
      <c r="H205" s="23" t="s">
        <v>11</v>
      </c>
    </row>
    <row r="206" spans="1:8" x14ac:dyDescent="0.25">
      <c r="A206" s="24">
        <v>46258</v>
      </c>
      <c r="B206" s="23" t="s">
        <v>20</v>
      </c>
      <c r="C206" s="25">
        <v>0.43</v>
      </c>
      <c r="D206" s="25">
        <v>30.232558139534884</v>
      </c>
      <c r="E206" s="25">
        <v>27</v>
      </c>
      <c r="F206" s="25">
        <v>13</v>
      </c>
      <c r="G206" s="25">
        <v>1.3900000000000001</v>
      </c>
      <c r="H206" s="23" t="s">
        <v>11</v>
      </c>
    </row>
    <row r="207" spans="1:8" x14ac:dyDescent="0.25">
      <c r="A207" s="24">
        <v>46258</v>
      </c>
      <c r="B207" s="23" t="s">
        <v>26</v>
      </c>
      <c r="C207" s="25">
        <v>1</v>
      </c>
      <c r="D207" s="25">
        <v>30</v>
      </c>
      <c r="E207" s="25">
        <v>24.558823529411764</v>
      </c>
      <c r="F207" s="25">
        <v>30</v>
      </c>
      <c r="G207" s="25">
        <v>5.4411764705882355</v>
      </c>
      <c r="H207" s="23" t="s">
        <v>25</v>
      </c>
    </row>
    <row r="208" spans="1:8" x14ac:dyDescent="0.25">
      <c r="A208" s="24">
        <v>46258</v>
      </c>
      <c r="B208" s="23" t="s">
        <v>26</v>
      </c>
      <c r="C208" s="25">
        <v>2</v>
      </c>
      <c r="D208" s="25">
        <v>30</v>
      </c>
      <c r="E208" s="25">
        <v>24.558823529411764</v>
      </c>
      <c r="F208" s="25">
        <v>60</v>
      </c>
      <c r="G208" s="25">
        <v>10.882352941176471</v>
      </c>
      <c r="H208" s="23" t="s">
        <v>25</v>
      </c>
    </row>
    <row r="209" spans="1:8" x14ac:dyDescent="0.25">
      <c r="A209" s="24">
        <v>46258</v>
      </c>
      <c r="B209" s="23" t="s">
        <v>15</v>
      </c>
      <c r="C209" s="25">
        <v>1.95</v>
      </c>
      <c r="D209" s="25">
        <v>17.435897435897438</v>
      </c>
      <c r="E209" s="25">
        <v>14.735868991019546</v>
      </c>
      <c r="F209" s="25">
        <v>34</v>
      </c>
      <c r="G209" s="25">
        <v>5.2650554675118899</v>
      </c>
      <c r="H209" s="23" t="s">
        <v>11</v>
      </c>
    </row>
    <row r="210" spans="1:8" x14ac:dyDescent="0.25">
      <c r="A210" s="24">
        <v>46258</v>
      </c>
      <c r="B210" s="23" t="s">
        <v>12</v>
      </c>
      <c r="C210" s="25">
        <v>1.5</v>
      </c>
      <c r="D210" s="25">
        <v>18</v>
      </c>
      <c r="E210" s="25">
        <v>18</v>
      </c>
      <c r="F210" s="25">
        <v>27</v>
      </c>
      <c r="G210" s="25">
        <v>0</v>
      </c>
      <c r="H210" s="23" t="s">
        <v>11</v>
      </c>
    </row>
    <row r="211" spans="1:8" x14ac:dyDescent="0.25">
      <c r="A211" s="24">
        <v>46258</v>
      </c>
      <c r="B211" s="23" t="s">
        <v>20</v>
      </c>
      <c r="C211" s="25">
        <v>0.93</v>
      </c>
      <c r="D211" s="25">
        <v>31.182795698924728</v>
      </c>
      <c r="E211" s="25">
        <v>27</v>
      </c>
      <c r="F211" s="25">
        <v>29</v>
      </c>
      <c r="G211" s="25">
        <v>3.8899999999999975</v>
      </c>
      <c r="H211" s="23" t="s">
        <v>11</v>
      </c>
    </row>
    <row r="212" spans="1:8" x14ac:dyDescent="0.25">
      <c r="A212" s="24">
        <v>46258</v>
      </c>
      <c r="B212" s="23" t="s">
        <v>24</v>
      </c>
      <c r="C212" s="25">
        <v>1</v>
      </c>
      <c r="D212" s="25">
        <v>10</v>
      </c>
      <c r="E212" s="25">
        <v>7</v>
      </c>
      <c r="F212" s="25">
        <v>10</v>
      </c>
      <c r="G212" s="25">
        <v>3</v>
      </c>
      <c r="H212" s="23" t="s">
        <v>25</v>
      </c>
    </row>
    <row r="213" spans="1:8" x14ac:dyDescent="0.25">
      <c r="A213" s="24">
        <v>46258</v>
      </c>
      <c r="B213" s="23" t="s">
        <v>26</v>
      </c>
      <c r="C213" s="25">
        <v>1</v>
      </c>
      <c r="D213" s="25">
        <v>27</v>
      </c>
      <c r="E213" s="25">
        <v>24.558823529411764</v>
      </c>
      <c r="F213" s="25">
        <v>27</v>
      </c>
      <c r="G213" s="25">
        <v>2.4411764705882355</v>
      </c>
      <c r="H213" s="23" t="s">
        <v>25</v>
      </c>
    </row>
    <row r="214" spans="1:8" x14ac:dyDescent="0.25">
      <c r="A214" s="24">
        <v>46258</v>
      </c>
      <c r="B214" s="23" t="s">
        <v>17</v>
      </c>
      <c r="C214" s="25">
        <v>3</v>
      </c>
      <c r="D214" s="25">
        <v>6</v>
      </c>
      <c r="E214" s="25">
        <v>4.5571428571428569</v>
      </c>
      <c r="F214" s="25">
        <v>18</v>
      </c>
      <c r="G214" s="25">
        <v>4.3285714285714292</v>
      </c>
      <c r="H214" s="23" t="s">
        <v>18</v>
      </c>
    </row>
    <row r="215" spans="1:8" x14ac:dyDescent="0.25">
      <c r="A215" s="24">
        <v>46258</v>
      </c>
      <c r="B215" s="23" t="s">
        <v>12</v>
      </c>
      <c r="C215" s="25">
        <v>1.82</v>
      </c>
      <c r="D215" s="25">
        <v>19.780219780219781</v>
      </c>
      <c r="E215" s="25">
        <v>18</v>
      </c>
      <c r="F215" s="25">
        <v>36</v>
      </c>
      <c r="G215" s="25">
        <v>3.2400000000000015</v>
      </c>
      <c r="H215" s="23" t="s">
        <v>11</v>
      </c>
    </row>
    <row r="216" spans="1:8" x14ac:dyDescent="0.25">
      <c r="A216" s="24">
        <v>46258</v>
      </c>
      <c r="B216" s="23" t="s">
        <v>66</v>
      </c>
      <c r="C216" s="25">
        <v>0.62</v>
      </c>
      <c r="D216" s="25">
        <v>29.032258064516128</v>
      </c>
      <c r="E216" s="25">
        <v>23.5</v>
      </c>
      <c r="F216" s="25">
        <v>18</v>
      </c>
      <c r="G216" s="25">
        <v>3.4299999999999993</v>
      </c>
      <c r="H216" s="23" t="s">
        <v>11</v>
      </c>
    </row>
    <row r="217" spans="1:8" x14ac:dyDescent="0.25">
      <c r="A217" s="24">
        <v>46258</v>
      </c>
      <c r="B217" s="23" t="s">
        <v>15</v>
      </c>
      <c r="C217" s="25">
        <v>1.58</v>
      </c>
      <c r="D217" s="25">
        <v>16.455696202531644</v>
      </c>
      <c r="E217" s="25">
        <v>14.735868991019546</v>
      </c>
      <c r="F217" s="25">
        <v>26</v>
      </c>
      <c r="G217" s="25">
        <v>2.7173269941891163</v>
      </c>
      <c r="H217" s="23" t="s">
        <v>11</v>
      </c>
    </row>
    <row r="218" spans="1:8" x14ac:dyDescent="0.25">
      <c r="A218" s="24">
        <v>46258</v>
      </c>
      <c r="B218" s="23" t="s">
        <v>27</v>
      </c>
      <c r="C218" s="25">
        <v>2</v>
      </c>
      <c r="D218" s="25">
        <v>24</v>
      </c>
      <c r="E218" s="25">
        <v>22</v>
      </c>
      <c r="F218" s="25">
        <v>48</v>
      </c>
      <c r="G218" s="25">
        <v>4</v>
      </c>
      <c r="H218" s="23" t="s">
        <v>18</v>
      </c>
    </row>
    <row r="219" spans="1:8" x14ac:dyDescent="0.25">
      <c r="A219" s="26">
        <v>46259</v>
      </c>
      <c r="B219" s="27" t="s">
        <v>27</v>
      </c>
      <c r="C219" s="28">
        <v>2</v>
      </c>
      <c r="D219" s="28">
        <v>24</v>
      </c>
      <c r="E219" s="28">
        <v>22</v>
      </c>
      <c r="F219" s="28">
        <v>48</v>
      </c>
      <c r="G219" s="28">
        <v>4</v>
      </c>
      <c r="H219" s="27" t="s">
        <v>18</v>
      </c>
    </row>
    <row r="220" spans="1:8" x14ac:dyDescent="0.25">
      <c r="A220" s="26">
        <v>46259</v>
      </c>
      <c r="B220" s="27" t="s">
        <v>26</v>
      </c>
      <c r="C220" s="28">
        <v>1</v>
      </c>
      <c r="D220" s="28">
        <v>30</v>
      </c>
      <c r="E220" s="28">
        <v>24.558823529411764</v>
      </c>
      <c r="F220" s="28">
        <v>30</v>
      </c>
      <c r="G220" s="28">
        <v>5.4411764705882355</v>
      </c>
      <c r="H220" s="27" t="s">
        <v>25</v>
      </c>
    </row>
    <row r="221" spans="1:8" x14ac:dyDescent="0.25">
      <c r="A221" s="26">
        <v>46259</v>
      </c>
      <c r="B221" s="27" t="s">
        <v>17</v>
      </c>
      <c r="C221" s="28">
        <v>3</v>
      </c>
      <c r="D221" s="28">
        <v>6</v>
      </c>
      <c r="E221" s="28">
        <v>4.5571428571428569</v>
      </c>
      <c r="F221" s="28">
        <v>18</v>
      </c>
      <c r="G221" s="28">
        <v>4.3285714285714292</v>
      </c>
      <c r="H221" s="27" t="s">
        <v>18</v>
      </c>
    </row>
    <row r="222" spans="1:8" x14ac:dyDescent="0.25">
      <c r="A222" s="26">
        <v>46259</v>
      </c>
      <c r="B222" s="27" t="s">
        <v>23</v>
      </c>
      <c r="C222" s="28">
        <v>1.21</v>
      </c>
      <c r="D222" s="28">
        <v>18.181818181818183</v>
      </c>
      <c r="E222" s="28">
        <v>16</v>
      </c>
      <c r="F222" s="28">
        <v>22</v>
      </c>
      <c r="G222" s="28">
        <v>2.6400000000000019</v>
      </c>
      <c r="H222" s="27" t="s">
        <v>11</v>
      </c>
    </row>
    <row r="223" spans="1:8" x14ac:dyDescent="0.25">
      <c r="A223" s="26">
        <v>46259</v>
      </c>
      <c r="B223" s="27" t="s">
        <v>66</v>
      </c>
      <c r="C223" s="28">
        <v>0.61</v>
      </c>
      <c r="D223" s="28">
        <v>29.508196721311474</v>
      </c>
      <c r="E223" s="28">
        <v>23.5</v>
      </c>
      <c r="F223" s="28">
        <v>18</v>
      </c>
      <c r="G223" s="28">
        <v>3.6649999999999991</v>
      </c>
      <c r="H223" s="27" t="s">
        <v>11</v>
      </c>
    </row>
    <row r="224" spans="1:8" x14ac:dyDescent="0.25">
      <c r="A224" s="26">
        <v>46259</v>
      </c>
      <c r="B224" s="27" t="s">
        <v>73</v>
      </c>
      <c r="C224" s="28">
        <v>1</v>
      </c>
      <c r="D224" s="28">
        <v>22</v>
      </c>
      <c r="E224" s="28">
        <v>20</v>
      </c>
      <c r="F224" s="28">
        <v>22</v>
      </c>
      <c r="G224" s="28">
        <v>2</v>
      </c>
      <c r="H224" s="27" t="s">
        <v>18</v>
      </c>
    </row>
    <row r="225" spans="1:8" x14ac:dyDescent="0.25">
      <c r="A225" s="26">
        <v>46259</v>
      </c>
      <c r="B225" s="27" t="s">
        <v>13</v>
      </c>
      <c r="C225" s="28">
        <v>2.8</v>
      </c>
      <c r="D225" s="28">
        <v>20</v>
      </c>
      <c r="E225" s="28">
        <v>17.641139421700544</v>
      </c>
      <c r="F225" s="28">
        <v>56</v>
      </c>
      <c r="G225" s="28">
        <v>6.6048096192384769</v>
      </c>
      <c r="H225" s="27" t="s">
        <v>11</v>
      </c>
    </row>
    <row r="226" spans="1:8" x14ac:dyDescent="0.25">
      <c r="A226" s="26">
        <v>46259</v>
      </c>
      <c r="B226" s="27" t="s">
        <v>13</v>
      </c>
      <c r="C226" s="28">
        <v>3.01</v>
      </c>
      <c r="D226" s="28">
        <v>19.933554817275748</v>
      </c>
      <c r="E226" s="28">
        <v>17.641139421700544</v>
      </c>
      <c r="F226" s="28">
        <v>60</v>
      </c>
      <c r="G226" s="28">
        <v>6.9001703406813659</v>
      </c>
      <c r="H226" s="27" t="s">
        <v>11</v>
      </c>
    </row>
    <row r="227" spans="1:8" x14ac:dyDescent="0.25">
      <c r="A227" s="26">
        <v>46259</v>
      </c>
      <c r="B227" s="27" t="s">
        <v>12</v>
      </c>
      <c r="C227" s="28">
        <v>3.35</v>
      </c>
      <c r="D227" s="28">
        <v>19.402985074626866</v>
      </c>
      <c r="E227" s="28">
        <v>18</v>
      </c>
      <c r="F227" s="28">
        <v>65</v>
      </c>
      <c r="G227" s="28">
        <v>4.7</v>
      </c>
      <c r="H227" s="27" t="s">
        <v>11</v>
      </c>
    </row>
    <row r="228" spans="1:8" x14ac:dyDescent="0.25">
      <c r="A228" s="26">
        <v>46259</v>
      </c>
      <c r="B228" s="27" t="s">
        <v>27</v>
      </c>
      <c r="C228" s="28">
        <v>1</v>
      </c>
      <c r="D228" s="28">
        <v>24</v>
      </c>
      <c r="E228" s="28">
        <v>22</v>
      </c>
      <c r="F228" s="28">
        <v>24</v>
      </c>
      <c r="G228" s="28">
        <v>2</v>
      </c>
      <c r="H228" s="27" t="s">
        <v>18</v>
      </c>
    </row>
    <row r="229" spans="1:8" x14ac:dyDescent="0.25">
      <c r="A229" s="26">
        <v>46259</v>
      </c>
      <c r="B229" s="27" t="s">
        <v>73</v>
      </c>
      <c r="C229" s="28">
        <v>1</v>
      </c>
      <c r="D229" s="28">
        <v>21</v>
      </c>
      <c r="E229" s="28">
        <v>20</v>
      </c>
      <c r="F229" s="28">
        <v>21</v>
      </c>
      <c r="G229" s="28">
        <v>1</v>
      </c>
      <c r="H229" s="27" t="s">
        <v>18</v>
      </c>
    </row>
    <row r="230" spans="1:8" x14ac:dyDescent="0.25">
      <c r="A230" s="26">
        <v>46259</v>
      </c>
      <c r="B230" s="27" t="s">
        <v>12</v>
      </c>
      <c r="C230" s="28">
        <v>1.9</v>
      </c>
      <c r="D230" s="28">
        <v>20.526315789473685</v>
      </c>
      <c r="E230" s="28">
        <v>18</v>
      </c>
      <c r="F230" s="28">
        <v>39</v>
      </c>
      <c r="G230" s="28">
        <v>4.8000000000000016</v>
      </c>
      <c r="H230" s="27" t="s">
        <v>11</v>
      </c>
    </row>
    <row r="231" spans="1:8" x14ac:dyDescent="0.25">
      <c r="A231" s="26">
        <v>46259</v>
      </c>
      <c r="B231" s="27" t="s">
        <v>20</v>
      </c>
      <c r="C231" s="28">
        <v>0.93</v>
      </c>
      <c r="D231" s="28">
        <v>30.107526881720428</v>
      </c>
      <c r="E231" s="28">
        <v>27</v>
      </c>
      <c r="F231" s="28">
        <v>28</v>
      </c>
      <c r="G231" s="28">
        <v>2.8899999999999983</v>
      </c>
      <c r="H231" s="27" t="s">
        <v>11</v>
      </c>
    </row>
    <row r="232" spans="1:8" x14ac:dyDescent="0.25">
      <c r="A232" s="29">
        <v>46260</v>
      </c>
      <c r="B232" s="30" t="s">
        <v>20</v>
      </c>
      <c r="C232" s="31">
        <v>0.37</v>
      </c>
      <c r="D232" s="31">
        <v>29.72972972972973</v>
      </c>
      <c r="E232" s="31">
        <v>27</v>
      </c>
      <c r="F232" s="31">
        <v>11</v>
      </c>
      <c r="G232" s="31">
        <v>1.01</v>
      </c>
      <c r="H232" s="30" t="s">
        <v>11</v>
      </c>
    </row>
    <row r="233" spans="1:8" x14ac:dyDescent="0.25">
      <c r="A233" s="29">
        <v>46260</v>
      </c>
      <c r="B233" s="30" t="s">
        <v>20</v>
      </c>
      <c r="C233" s="31">
        <v>0.75</v>
      </c>
      <c r="D233" s="31">
        <v>30.666666666666668</v>
      </c>
      <c r="E233" s="31">
        <v>27</v>
      </c>
      <c r="F233" s="31">
        <v>23</v>
      </c>
      <c r="G233" s="31">
        <v>2.7500000000000009</v>
      </c>
      <c r="H233" s="30" t="s">
        <v>11</v>
      </c>
    </row>
    <row r="234" spans="1:8" x14ac:dyDescent="0.25">
      <c r="A234" s="29">
        <v>46260</v>
      </c>
      <c r="B234" s="30" t="s">
        <v>26</v>
      </c>
      <c r="C234" s="31">
        <v>1</v>
      </c>
      <c r="D234" s="31">
        <v>30</v>
      </c>
      <c r="E234" s="31">
        <v>24.558823529411764</v>
      </c>
      <c r="F234" s="31">
        <v>30</v>
      </c>
      <c r="G234" s="31">
        <v>5.4411764705882355</v>
      </c>
      <c r="H234" s="30" t="s">
        <v>25</v>
      </c>
    </row>
    <row r="235" spans="1:8" x14ac:dyDescent="0.25">
      <c r="A235" s="29">
        <v>46260</v>
      </c>
      <c r="B235" s="30" t="s">
        <v>15</v>
      </c>
      <c r="C235" s="31">
        <v>1.87</v>
      </c>
      <c r="D235" s="31">
        <v>16.042780748663102</v>
      </c>
      <c r="E235" s="31">
        <v>14.735868991019546</v>
      </c>
      <c r="F235" s="31">
        <v>30</v>
      </c>
      <c r="G235" s="31">
        <v>2.4439249867934505</v>
      </c>
      <c r="H235" s="30" t="s">
        <v>11</v>
      </c>
    </row>
    <row r="236" spans="1:8" x14ac:dyDescent="0.25">
      <c r="A236" s="29">
        <v>46260</v>
      </c>
      <c r="B236" s="30" t="s">
        <v>26</v>
      </c>
      <c r="C236" s="31">
        <v>1</v>
      </c>
      <c r="D236" s="31">
        <v>28</v>
      </c>
      <c r="E236" s="31">
        <v>24.558823529411764</v>
      </c>
      <c r="F236" s="31">
        <v>28</v>
      </c>
      <c r="G236" s="31">
        <v>3.4411764705882355</v>
      </c>
      <c r="H236" s="30" t="s">
        <v>25</v>
      </c>
    </row>
    <row r="237" spans="1:8" x14ac:dyDescent="0.25">
      <c r="A237" s="29">
        <v>46260</v>
      </c>
      <c r="B237" s="30" t="s">
        <v>27</v>
      </c>
      <c r="C237" s="31">
        <v>2</v>
      </c>
      <c r="D237" s="31">
        <v>24</v>
      </c>
      <c r="E237" s="31">
        <v>22</v>
      </c>
      <c r="F237" s="31">
        <v>48</v>
      </c>
      <c r="G237" s="31">
        <v>4</v>
      </c>
      <c r="H237" s="30" t="s">
        <v>18</v>
      </c>
    </row>
    <row r="238" spans="1:8" x14ac:dyDescent="0.25">
      <c r="A238" s="29">
        <v>46260</v>
      </c>
      <c r="B238" s="30" t="s">
        <v>62</v>
      </c>
      <c r="C238" s="31">
        <v>1</v>
      </c>
      <c r="D238" s="31">
        <v>13</v>
      </c>
      <c r="E238" s="31">
        <v>12</v>
      </c>
      <c r="F238" s="31">
        <v>13</v>
      </c>
      <c r="G238" s="31">
        <v>1</v>
      </c>
      <c r="H238" s="30" t="s">
        <v>18</v>
      </c>
    </row>
    <row r="239" spans="1:8" x14ac:dyDescent="0.25">
      <c r="A239" s="29">
        <v>46260</v>
      </c>
      <c r="B239" s="30" t="s">
        <v>15</v>
      </c>
      <c r="C239" s="31">
        <v>1.74</v>
      </c>
      <c r="D239" s="31">
        <v>16.666666666666668</v>
      </c>
      <c r="E239" s="31">
        <v>14.735868991019546</v>
      </c>
      <c r="F239" s="31">
        <v>29</v>
      </c>
      <c r="G239" s="31">
        <v>3.3595879556259929</v>
      </c>
      <c r="H239" s="30" t="s">
        <v>11</v>
      </c>
    </row>
    <row r="240" spans="1:8" x14ac:dyDescent="0.25">
      <c r="A240" s="29">
        <v>46260</v>
      </c>
      <c r="B240" s="30" t="s">
        <v>66</v>
      </c>
      <c r="C240" s="31">
        <v>0.52</v>
      </c>
      <c r="D240" s="31">
        <v>42.307692307692307</v>
      </c>
      <c r="E240" s="31">
        <v>23.5</v>
      </c>
      <c r="F240" s="31">
        <v>22</v>
      </c>
      <c r="G240" s="31">
        <v>9.7799999999999994</v>
      </c>
      <c r="H240" s="30" t="s">
        <v>11</v>
      </c>
    </row>
    <row r="241" spans="1:8" x14ac:dyDescent="0.25">
      <c r="A241" s="34">
        <v>46261</v>
      </c>
      <c r="B241" s="35" t="s">
        <v>21</v>
      </c>
      <c r="C241" s="36">
        <v>1</v>
      </c>
      <c r="D241" s="36">
        <v>16</v>
      </c>
      <c r="E241" s="36">
        <v>15.333333333333334</v>
      </c>
      <c r="F241" s="36">
        <v>16</v>
      </c>
      <c r="G241" s="36">
        <v>0.66666666666666607</v>
      </c>
      <c r="H241" s="35" t="s">
        <v>18</v>
      </c>
    </row>
    <row r="242" spans="1:8" x14ac:dyDescent="0.25">
      <c r="A242" s="34">
        <v>46261</v>
      </c>
      <c r="B242" s="35" t="s">
        <v>21</v>
      </c>
      <c r="C242" s="36">
        <v>1</v>
      </c>
      <c r="D242" s="36">
        <v>18</v>
      </c>
      <c r="E242" s="36">
        <v>15.333333333333334</v>
      </c>
      <c r="F242" s="36">
        <v>18</v>
      </c>
      <c r="G242" s="36">
        <v>2.6666666666666661</v>
      </c>
      <c r="H242" s="35" t="s">
        <v>18</v>
      </c>
    </row>
    <row r="243" spans="1:8" x14ac:dyDescent="0.25">
      <c r="A243" s="34">
        <v>46261</v>
      </c>
      <c r="B243" s="35" t="s">
        <v>66</v>
      </c>
      <c r="C243" s="36">
        <v>0.61</v>
      </c>
      <c r="D243" s="36">
        <v>29.508196721311474</v>
      </c>
      <c r="E243" s="36">
        <v>23.5</v>
      </c>
      <c r="F243" s="36">
        <v>18</v>
      </c>
      <c r="G243" s="36">
        <v>3.6649999999999991</v>
      </c>
      <c r="H243" s="35" t="s">
        <v>11</v>
      </c>
    </row>
    <row r="244" spans="1:8" x14ac:dyDescent="0.25">
      <c r="A244" s="34">
        <v>46261</v>
      </c>
      <c r="B244" s="35" t="s">
        <v>24</v>
      </c>
      <c r="C244" s="36">
        <v>2</v>
      </c>
      <c r="D244" s="36">
        <v>10</v>
      </c>
      <c r="E244" s="36">
        <v>7</v>
      </c>
      <c r="F244" s="36">
        <v>20</v>
      </c>
      <c r="G244" s="36">
        <v>6</v>
      </c>
      <c r="H244" s="35" t="s">
        <v>25</v>
      </c>
    </row>
    <row r="245" spans="1:8" x14ac:dyDescent="0.25">
      <c r="A245" s="34">
        <v>46261</v>
      </c>
      <c r="B245" s="35" t="s">
        <v>13</v>
      </c>
      <c r="C245" s="36">
        <v>4.95</v>
      </c>
      <c r="D245" s="36">
        <v>18.98989898989899</v>
      </c>
      <c r="E245" s="36">
        <v>17.641139421700544</v>
      </c>
      <c r="F245" s="36">
        <v>94</v>
      </c>
      <c r="G245" s="36">
        <v>6.6763598625823075</v>
      </c>
      <c r="H245" s="35" t="s">
        <v>11</v>
      </c>
    </row>
    <row r="246" spans="1:8" x14ac:dyDescent="0.25">
      <c r="A246" s="34">
        <v>46261</v>
      </c>
      <c r="B246" s="35" t="s">
        <v>24</v>
      </c>
      <c r="C246" s="36">
        <v>6</v>
      </c>
      <c r="D246" s="36">
        <v>8</v>
      </c>
      <c r="E246" s="36">
        <v>7</v>
      </c>
      <c r="F246" s="36">
        <v>48</v>
      </c>
      <c r="G246" s="36">
        <v>6</v>
      </c>
      <c r="H246" s="35" t="s">
        <v>25</v>
      </c>
    </row>
    <row r="247" spans="1:8" x14ac:dyDescent="0.25">
      <c r="A247" s="34">
        <v>46261</v>
      </c>
      <c r="B247" s="35" t="s">
        <v>27</v>
      </c>
      <c r="C247" s="36">
        <v>2</v>
      </c>
      <c r="D247" s="36">
        <v>23.5</v>
      </c>
      <c r="E247" s="36">
        <v>22</v>
      </c>
      <c r="F247" s="36">
        <v>47</v>
      </c>
      <c r="G247" s="36">
        <v>3</v>
      </c>
      <c r="H247" s="35" t="s">
        <v>18</v>
      </c>
    </row>
    <row r="248" spans="1:8" x14ac:dyDescent="0.25">
      <c r="A248" s="34">
        <v>46261</v>
      </c>
      <c r="B248" s="35" t="s">
        <v>20</v>
      </c>
      <c r="C248" s="36">
        <v>0.43</v>
      </c>
      <c r="D248" s="36">
        <v>30.232558139534884</v>
      </c>
      <c r="E248" s="36">
        <v>27</v>
      </c>
      <c r="F248" s="36">
        <v>13</v>
      </c>
      <c r="G248" s="36">
        <v>1.3900000000000001</v>
      </c>
      <c r="H248" s="35" t="s">
        <v>11</v>
      </c>
    </row>
    <row r="249" spans="1:8" x14ac:dyDescent="0.25">
      <c r="A249" s="34">
        <v>46261</v>
      </c>
      <c r="B249" s="35" t="s">
        <v>27</v>
      </c>
      <c r="C249" s="36">
        <v>2</v>
      </c>
      <c r="D249" s="36">
        <v>24</v>
      </c>
      <c r="E249" s="36">
        <v>22</v>
      </c>
      <c r="F249" s="36">
        <v>48</v>
      </c>
      <c r="G249" s="36">
        <v>4</v>
      </c>
      <c r="H249" s="35" t="s">
        <v>18</v>
      </c>
    </row>
    <row r="250" spans="1:8" x14ac:dyDescent="0.25">
      <c r="A250" s="34">
        <v>46261</v>
      </c>
      <c r="B250" s="35" t="s">
        <v>26</v>
      </c>
      <c r="C250" s="36">
        <v>1</v>
      </c>
      <c r="D250" s="36">
        <v>28</v>
      </c>
      <c r="E250" s="36">
        <v>24.558823529411764</v>
      </c>
      <c r="F250" s="36">
        <v>28</v>
      </c>
      <c r="G250" s="36">
        <v>3.4411764705882355</v>
      </c>
      <c r="H250" s="35" t="s">
        <v>25</v>
      </c>
    </row>
    <row r="251" spans="1:8" x14ac:dyDescent="0.25">
      <c r="A251" s="34">
        <v>46261</v>
      </c>
      <c r="B251" s="35" t="s">
        <v>12</v>
      </c>
      <c r="C251" s="36">
        <v>1.84</v>
      </c>
      <c r="D251" s="36">
        <v>17.934782608695652</v>
      </c>
      <c r="E251" s="36">
        <v>18</v>
      </c>
      <c r="F251" s="36">
        <v>33</v>
      </c>
      <c r="G251" s="36">
        <v>-0.11999999999999972</v>
      </c>
      <c r="H251" s="35" t="s">
        <v>11</v>
      </c>
    </row>
    <row r="252" spans="1:8" x14ac:dyDescent="0.25">
      <c r="A252" s="34">
        <v>46261</v>
      </c>
      <c r="B252" s="35" t="s">
        <v>73</v>
      </c>
      <c r="C252" s="36">
        <v>1</v>
      </c>
      <c r="D252" s="36">
        <v>22</v>
      </c>
      <c r="E252" s="36">
        <v>20</v>
      </c>
      <c r="F252" s="36">
        <v>22</v>
      </c>
      <c r="G252" s="36">
        <v>2</v>
      </c>
      <c r="H252" s="35" t="s">
        <v>18</v>
      </c>
    </row>
    <row r="253" spans="1:8" x14ac:dyDescent="0.25">
      <c r="A253" s="34">
        <v>46261</v>
      </c>
      <c r="B253" s="35" t="s">
        <v>17</v>
      </c>
      <c r="C253" s="36">
        <v>3</v>
      </c>
      <c r="D253" s="36">
        <v>6</v>
      </c>
      <c r="E253" s="36">
        <v>4.5571428571428569</v>
      </c>
      <c r="F253" s="36">
        <v>18</v>
      </c>
      <c r="G253" s="36">
        <v>4.3285714285714292</v>
      </c>
      <c r="H253" s="35" t="s">
        <v>18</v>
      </c>
    </row>
    <row r="254" spans="1:8" x14ac:dyDescent="0.25">
      <c r="A254" s="34">
        <v>46261</v>
      </c>
      <c r="B254" s="35" t="s">
        <v>66</v>
      </c>
      <c r="C254" s="36">
        <v>0.52</v>
      </c>
      <c r="D254" s="36">
        <v>30.769230769230766</v>
      </c>
      <c r="E254" s="36">
        <v>23.5</v>
      </c>
      <c r="F254" s="36">
        <v>16</v>
      </c>
      <c r="G254" s="36">
        <v>3.7799999999999989</v>
      </c>
      <c r="H254" s="35" t="s">
        <v>11</v>
      </c>
    </row>
    <row r="255" spans="1:8" x14ac:dyDescent="0.25">
      <c r="A255" s="34">
        <v>46261</v>
      </c>
      <c r="B255" s="35" t="s">
        <v>27</v>
      </c>
      <c r="C255" s="36">
        <v>2</v>
      </c>
      <c r="D255" s="36">
        <v>24</v>
      </c>
      <c r="E255" s="36">
        <v>22</v>
      </c>
      <c r="F255" s="36">
        <v>48</v>
      </c>
      <c r="G255" s="36">
        <v>4</v>
      </c>
      <c r="H255" s="35" t="s">
        <v>18</v>
      </c>
    </row>
    <row r="256" spans="1:8" x14ac:dyDescent="0.25">
      <c r="A256" s="24">
        <v>46262</v>
      </c>
      <c r="B256" s="23" t="s">
        <v>72</v>
      </c>
      <c r="C256" s="25">
        <v>3.9</v>
      </c>
      <c r="D256" s="25">
        <v>18.974358974358974</v>
      </c>
      <c r="E256" s="25">
        <v>15.5</v>
      </c>
      <c r="F256" s="25">
        <v>74</v>
      </c>
      <c r="G256" s="25">
        <v>13.55</v>
      </c>
      <c r="H256" s="23" t="s">
        <v>11</v>
      </c>
    </row>
    <row r="257" spans="1:8" x14ac:dyDescent="0.25">
      <c r="A257" s="24">
        <v>46262</v>
      </c>
      <c r="B257" s="23" t="s">
        <v>23</v>
      </c>
      <c r="C257" s="25">
        <v>1.05</v>
      </c>
      <c r="D257" s="25">
        <v>17.142857142857142</v>
      </c>
      <c r="E257" s="25">
        <v>16</v>
      </c>
      <c r="F257" s="25">
        <v>18</v>
      </c>
      <c r="G257" s="25">
        <v>1.1999999999999995</v>
      </c>
      <c r="H257" s="23" t="s">
        <v>11</v>
      </c>
    </row>
    <row r="258" spans="1:8" x14ac:dyDescent="0.25">
      <c r="A258" s="24">
        <v>46262</v>
      </c>
      <c r="B258" s="23" t="s">
        <v>23</v>
      </c>
      <c r="C258" s="25">
        <v>1.3</v>
      </c>
      <c r="D258" s="25">
        <v>20</v>
      </c>
      <c r="E258" s="25">
        <v>16</v>
      </c>
      <c r="F258" s="25">
        <v>26</v>
      </c>
      <c r="G258" s="25">
        <v>5.2</v>
      </c>
      <c r="H258" s="23" t="s">
        <v>11</v>
      </c>
    </row>
    <row r="259" spans="1:8" x14ac:dyDescent="0.25">
      <c r="A259" s="24">
        <v>46262</v>
      </c>
      <c r="B259" s="23" t="s">
        <v>26</v>
      </c>
      <c r="C259" s="25">
        <v>1</v>
      </c>
      <c r="D259" s="25">
        <v>28</v>
      </c>
      <c r="E259" s="25">
        <v>24.558823529411764</v>
      </c>
      <c r="F259" s="25">
        <v>28</v>
      </c>
      <c r="G259" s="25">
        <v>3.4411764705882355</v>
      </c>
      <c r="H259" s="23" t="s">
        <v>25</v>
      </c>
    </row>
    <row r="260" spans="1:8" x14ac:dyDescent="0.25">
      <c r="A260" s="24">
        <v>46262</v>
      </c>
      <c r="B260" s="23" t="s">
        <v>12</v>
      </c>
      <c r="C260" s="25">
        <v>1.72</v>
      </c>
      <c r="D260" s="25">
        <v>18.02325581395349</v>
      </c>
      <c r="E260" s="25">
        <v>18</v>
      </c>
      <c r="F260" s="25">
        <v>31</v>
      </c>
      <c r="G260" s="25">
        <v>4.0000000000003123E-2</v>
      </c>
      <c r="H260" s="23" t="s">
        <v>11</v>
      </c>
    </row>
    <row r="261" spans="1:8" x14ac:dyDescent="0.25">
      <c r="A261" s="24">
        <v>46262</v>
      </c>
      <c r="B261" s="23" t="s">
        <v>73</v>
      </c>
      <c r="C261" s="25">
        <v>1</v>
      </c>
      <c r="D261" s="25">
        <v>22</v>
      </c>
      <c r="E261" s="25">
        <v>20</v>
      </c>
      <c r="F261" s="25">
        <v>22</v>
      </c>
      <c r="G261" s="25">
        <v>2</v>
      </c>
      <c r="H261" s="23" t="s">
        <v>18</v>
      </c>
    </row>
    <row r="262" spans="1:8" x14ac:dyDescent="0.25">
      <c r="A262" s="24">
        <v>46262</v>
      </c>
      <c r="B262" s="23" t="s">
        <v>66</v>
      </c>
      <c r="C262" s="25">
        <v>0.62</v>
      </c>
      <c r="D262" s="25">
        <v>29.032258064516128</v>
      </c>
      <c r="E262" s="25">
        <v>23.5</v>
      </c>
      <c r="F262" s="25">
        <v>18</v>
      </c>
      <c r="G262" s="25">
        <v>3.4299999999999993</v>
      </c>
      <c r="H262" s="23" t="s">
        <v>11</v>
      </c>
    </row>
    <row r="263" spans="1:8" x14ac:dyDescent="0.25">
      <c r="A263" s="24">
        <v>46262</v>
      </c>
      <c r="B263" s="23" t="s">
        <v>73</v>
      </c>
      <c r="C263" s="25">
        <v>3</v>
      </c>
      <c r="D263" s="25">
        <v>22</v>
      </c>
      <c r="E263" s="25">
        <v>20</v>
      </c>
      <c r="F263" s="25">
        <v>66</v>
      </c>
      <c r="G263" s="25">
        <v>6</v>
      </c>
      <c r="H263" s="23" t="s">
        <v>18</v>
      </c>
    </row>
    <row r="264" spans="1:8" x14ac:dyDescent="0.25">
      <c r="A264" s="24">
        <v>46262</v>
      </c>
      <c r="B264" s="23" t="s">
        <v>17</v>
      </c>
      <c r="C264" s="25">
        <v>6</v>
      </c>
      <c r="D264" s="25">
        <v>6</v>
      </c>
      <c r="E264" s="25">
        <v>4.5571428571428569</v>
      </c>
      <c r="F264" s="25">
        <v>36</v>
      </c>
      <c r="G264" s="25">
        <v>8.6571428571428584</v>
      </c>
      <c r="H264" s="23" t="s">
        <v>18</v>
      </c>
    </row>
    <row r="265" spans="1:8" x14ac:dyDescent="0.25">
      <c r="A265" s="24">
        <v>46262</v>
      </c>
      <c r="B265" s="23" t="s">
        <v>21</v>
      </c>
      <c r="C265" s="25">
        <v>3</v>
      </c>
      <c r="D265" s="25">
        <v>17</v>
      </c>
      <c r="E265" s="25">
        <v>15.333333333333334</v>
      </c>
      <c r="F265" s="25">
        <v>51</v>
      </c>
      <c r="G265" s="25">
        <v>4.9999999999999982</v>
      </c>
      <c r="H265" s="23" t="s">
        <v>18</v>
      </c>
    </row>
    <row r="266" spans="1:8" x14ac:dyDescent="0.25">
      <c r="A266" s="24">
        <v>46262</v>
      </c>
      <c r="B266" s="23" t="s">
        <v>24</v>
      </c>
      <c r="C266" s="25">
        <v>1</v>
      </c>
      <c r="D266" s="25">
        <v>10</v>
      </c>
      <c r="E266" s="25">
        <v>7</v>
      </c>
      <c r="F266" s="25">
        <v>10</v>
      </c>
      <c r="G266" s="25">
        <v>3</v>
      </c>
      <c r="H266" s="23" t="s">
        <v>25</v>
      </c>
    </row>
    <row r="267" spans="1:8" x14ac:dyDescent="0.25">
      <c r="A267" s="24">
        <v>46262</v>
      </c>
      <c r="B267" s="23" t="s">
        <v>27</v>
      </c>
      <c r="C267" s="25">
        <v>1</v>
      </c>
      <c r="D267" s="25">
        <v>24</v>
      </c>
      <c r="E267" s="25">
        <v>22</v>
      </c>
      <c r="F267" s="25">
        <v>24</v>
      </c>
      <c r="G267" s="25">
        <v>2</v>
      </c>
      <c r="H267" s="23" t="s">
        <v>18</v>
      </c>
    </row>
    <row r="268" spans="1:8" x14ac:dyDescent="0.25">
      <c r="A268" s="24">
        <v>46262</v>
      </c>
      <c r="B268" s="23" t="s">
        <v>12</v>
      </c>
      <c r="C268" s="25">
        <v>1.55</v>
      </c>
      <c r="D268" s="25">
        <v>18.70967741935484</v>
      </c>
      <c r="E268" s="25">
        <v>18</v>
      </c>
      <c r="F268" s="25">
        <v>29</v>
      </c>
      <c r="G268" s="25">
        <v>1.1000000000000019</v>
      </c>
      <c r="H268" s="23" t="s">
        <v>11</v>
      </c>
    </row>
    <row r="269" spans="1:8" x14ac:dyDescent="0.25">
      <c r="A269" s="24">
        <v>46262</v>
      </c>
      <c r="B269" s="23" t="s">
        <v>24</v>
      </c>
      <c r="C269" s="25">
        <v>1</v>
      </c>
      <c r="D269" s="25">
        <v>10</v>
      </c>
      <c r="E269" s="25">
        <v>7</v>
      </c>
      <c r="F269" s="25">
        <v>10</v>
      </c>
      <c r="G269" s="25">
        <v>3</v>
      </c>
      <c r="H269" s="23" t="s">
        <v>25</v>
      </c>
    </row>
    <row r="270" spans="1:8" x14ac:dyDescent="0.25">
      <c r="A270" s="24">
        <v>46262</v>
      </c>
      <c r="B270" s="23" t="s">
        <v>17</v>
      </c>
      <c r="C270" s="25">
        <v>1</v>
      </c>
      <c r="D270" s="25">
        <v>5</v>
      </c>
      <c r="E270" s="25">
        <v>4.5571428571428569</v>
      </c>
      <c r="F270" s="25">
        <v>5</v>
      </c>
      <c r="G270" s="25">
        <v>0.44285714285714306</v>
      </c>
      <c r="H270" s="23" t="s">
        <v>18</v>
      </c>
    </row>
    <row r="271" spans="1:8" x14ac:dyDescent="0.25">
      <c r="A271" s="24">
        <v>46262</v>
      </c>
      <c r="B271" s="23" t="s">
        <v>10</v>
      </c>
      <c r="C271" s="25">
        <v>1.42</v>
      </c>
      <c r="D271" s="25">
        <v>18.30985915492958</v>
      </c>
      <c r="E271" s="25">
        <v>16.759807549962989</v>
      </c>
      <c r="F271" s="25">
        <v>26</v>
      </c>
      <c r="G271" s="25">
        <v>2.2010732790525585</v>
      </c>
      <c r="H271" s="23" t="s">
        <v>11</v>
      </c>
    </row>
    <row r="272" spans="1:8" x14ac:dyDescent="0.25">
      <c r="A272" s="24">
        <v>46262</v>
      </c>
      <c r="B272" s="23" t="s">
        <v>12</v>
      </c>
      <c r="C272" s="25">
        <v>1.83</v>
      </c>
      <c r="D272" s="25">
        <v>18.032786885245901</v>
      </c>
      <c r="E272" s="25">
        <v>18</v>
      </c>
      <c r="F272" s="25">
        <v>33</v>
      </c>
      <c r="G272" s="25">
        <v>5.9999999999999255E-2</v>
      </c>
      <c r="H272" s="23" t="s">
        <v>11</v>
      </c>
    </row>
    <row r="273" spans="1:8" x14ac:dyDescent="0.25">
      <c r="A273" s="24">
        <v>46262</v>
      </c>
      <c r="B273" s="23" t="s">
        <v>13</v>
      </c>
      <c r="C273" s="25">
        <v>7.8</v>
      </c>
      <c r="D273" s="25">
        <v>19.102564102564102</v>
      </c>
      <c r="E273" s="25">
        <v>17.641139421700544</v>
      </c>
      <c r="F273" s="25">
        <v>149</v>
      </c>
      <c r="G273" s="25">
        <v>11.399112510735756</v>
      </c>
      <c r="H273" s="23" t="s">
        <v>11</v>
      </c>
    </row>
    <row r="274" spans="1:8" x14ac:dyDescent="0.25">
      <c r="A274" s="24">
        <v>46262</v>
      </c>
      <c r="B274" s="23" t="s">
        <v>26</v>
      </c>
      <c r="C274" s="25">
        <v>1</v>
      </c>
      <c r="D274" s="25">
        <v>26</v>
      </c>
      <c r="E274" s="25">
        <v>24.558823529411764</v>
      </c>
      <c r="F274" s="25">
        <v>26</v>
      </c>
      <c r="G274" s="25">
        <v>1.4411764705882355</v>
      </c>
      <c r="H274" s="23" t="s">
        <v>25</v>
      </c>
    </row>
    <row r="275" spans="1:8" x14ac:dyDescent="0.25">
      <c r="A275" s="24">
        <v>46262</v>
      </c>
      <c r="B275" s="23" t="s">
        <v>15</v>
      </c>
      <c r="C275" s="25">
        <v>1.57</v>
      </c>
      <c r="D275" s="25">
        <v>17.834394904458598</v>
      </c>
      <c r="E275" s="25">
        <v>14.735868991019546</v>
      </c>
      <c r="F275" s="25">
        <v>28</v>
      </c>
      <c r="G275" s="25">
        <v>4.8646856840993129</v>
      </c>
      <c r="H275" s="23" t="s">
        <v>11</v>
      </c>
    </row>
    <row r="276" spans="1:8" x14ac:dyDescent="0.25">
      <c r="A276" s="24">
        <v>46262</v>
      </c>
      <c r="B276" s="23" t="s">
        <v>12</v>
      </c>
      <c r="C276" s="25">
        <v>1.55</v>
      </c>
      <c r="D276" s="25">
        <v>18.064516129032256</v>
      </c>
      <c r="E276" s="25">
        <v>18</v>
      </c>
      <c r="F276" s="25">
        <v>28</v>
      </c>
      <c r="G276" s="25">
        <v>9.9999999999997161E-2</v>
      </c>
      <c r="H276" s="23" t="s">
        <v>11</v>
      </c>
    </row>
    <row r="277" spans="1:8" x14ac:dyDescent="0.25">
      <c r="A277" s="24">
        <v>46262</v>
      </c>
      <c r="B277" s="23" t="s">
        <v>15</v>
      </c>
      <c r="C277" s="25">
        <v>1.79</v>
      </c>
      <c r="D277" s="25">
        <v>16.759776536312849</v>
      </c>
      <c r="E277" s="25">
        <v>14.735868991019546</v>
      </c>
      <c r="F277" s="25">
        <v>30</v>
      </c>
      <c r="G277" s="25">
        <v>3.6227945060750129</v>
      </c>
      <c r="H277" s="23" t="s">
        <v>11</v>
      </c>
    </row>
    <row r="278" spans="1:8" x14ac:dyDescent="0.25">
      <c r="A278" s="24">
        <v>46262</v>
      </c>
      <c r="B278" s="23" t="s">
        <v>26</v>
      </c>
      <c r="C278" s="25">
        <v>1</v>
      </c>
      <c r="D278" s="25">
        <v>28</v>
      </c>
      <c r="E278" s="25">
        <v>24.558823529411764</v>
      </c>
      <c r="F278" s="25">
        <v>28</v>
      </c>
      <c r="G278" s="25">
        <v>3.4411764705882355</v>
      </c>
      <c r="H278" s="23" t="s">
        <v>25</v>
      </c>
    </row>
    <row r="279" spans="1:8" x14ac:dyDescent="0.25">
      <c r="A279" s="24">
        <v>46262</v>
      </c>
      <c r="B279" s="23" t="s">
        <v>15</v>
      </c>
      <c r="C279" s="25">
        <v>1.62</v>
      </c>
      <c r="D279" s="25">
        <v>16.666666666666664</v>
      </c>
      <c r="E279" s="25">
        <v>14.735868991019546</v>
      </c>
      <c r="F279" s="25">
        <v>27</v>
      </c>
      <c r="G279" s="25">
        <v>3.1278922345483329</v>
      </c>
      <c r="H279" s="23" t="s">
        <v>11</v>
      </c>
    </row>
    <row r="280" spans="1:8" x14ac:dyDescent="0.25">
      <c r="A280" s="26">
        <v>46263</v>
      </c>
      <c r="B280" s="27" t="s">
        <v>74</v>
      </c>
      <c r="C280" s="28">
        <v>3.95</v>
      </c>
      <c r="D280" s="28">
        <v>17.974683544303797</v>
      </c>
      <c r="E280" s="28">
        <v>16.5</v>
      </c>
      <c r="F280" s="28">
        <v>71</v>
      </c>
      <c r="G280" s="28">
        <v>5.8249999999999993</v>
      </c>
      <c r="H280" s="27" t="s">
        <v>11</v>
      </c>
    </row>
    <row r="281" spans="1:8" x14ac:dyDescent="0.25">
      <c r="A281" s="26">
        <v>46263</v>
      </c>
      <c r="B281" s="27" t="s">
        <v>13</v>
      </c>
      <c r="C281" s="28">
        <v>4.93</v>
      </c>
      <c r="D281" s="28">
        <v>19.066937119675458</v>
      </c>
      <c r="E281" s="28">
        <v>17.641139421700544</v>
      </c>
      <c r="F281" s="28">
        <v>94</v>
      </c>
      <c r="G281" s="28">
        <v>7.0291826510163284</v>
      </c>
      <c r="H281" s="27" t="s">
        <v>11</v>
      </c>
    </row>
    <row r="282" spans="1:8" x14ac:dyDescent="0.25">
      <c r="A282" s="26">
        <v>46263</v>
      </c>
      <c r="B282" s="27" t="s">
        <v>74</v>
      </c>
      <c r="C282" s="28">
        <v>1</v>
      </c>
      <c r="D282" s="28">
        <v>18</v>
      </c>
      <c r="E282" s="28">
        <v>16.5</v>
      </c>
      <c r="F282" s="28">
        <v>18</v>
      </c>
      <c r="G282" s="28">
        <v>1.5</v>
      </c>
      <c r="H282" s="27" t="s">
        <v>11</v>
      </c>
    </row>
    <row r="283" spans="1:8" x14ac:dyDescent="0.25">
      <c r="A283" s="26">
        <v>46263</v>
      </c>
      <c r="B283" s="27" t="s">
        <v>23</v>
      </c>
      <c r="C283" s="28">
        <v>1.28</v>
      </c>
      <c r="D283" s="28">
        <v>17.1875</v>
      </c>
      <c r="E283" s="28">
        <v>16</v>
      </c>
      <c r="F283" s="28">
        <v>22</v>
      </c>
      <c r="G283" s="28">
        <v>1.52</v>
      </c>
      <c r="H283" s="27" t="s">
        <v>11</v>
      </c>
    </row>
    <row r="284" spans="1:8" x14ac:dyDescent="0.25">
      <c r="A284" s="26">
        <v>46263</v>
      </c>
      <c r="B284" s="27" t="s">
        <v>15</v>
      </c>
      <c r="C284" s="28">
        <v>1.72</v>
      </c>
      <c r="D284" s="28">
        <v>16.279069767441861</v>
      </c>
      <c r="E284" s="28">
        <v>14.735868991019546</v>
      </c>
      <c r="F284" s="28">
        <v>28</v>
      </c>
      <c r="G284" s="28">
        <v>2.6543053354463826</v>
      </c>
      <c r="H284" s="27" t="s">
        <v>11</v>
      </c>
    </row>
    <row r="285" spans="1:8" x14ac:dyDescent="0.25">
      <c r="A285" s="26">
        <v>46263</v>
      </c>
      <c r="B285" s="27" t="s">
        <v>13</v>
      </c>
      <c r="C285" s="28">
        <v>3.05</v>
      </c>
      <c r="D285" s="28">
        <v>19.672131147540984</v>
      </c>
      <c r="E285" s="28">
        <v>17.641139421700544</v>
      </c>
      <c r="F285" s="28">
        <v>60</v>
      </c>
      <c r="G285" s="28">
        <v>6.1945247638133427</v>
      </c>
      <c r="H285" s="27" t="s">
        <v>11</v>
      </c>
    </row>
    <row r="286" spans="1:8" x14ac:dyDescent="0.25">
      <c r="A286" s="26">
        <v>46263</v>
      </c>
      <c r="B286" s="27" t="s">
        <v>27</v>
      </c>
      <c r="C286" s="28">
        <v>2</v>
      </c>
      <c r="D286" s="28">
        <v>24</v>
      </c>
      <c r="E286" s="28">
        <v>22</v>
      </c>
      <c r="F286" s="28">
        <v>48</v>
      </c>
      <c r="G286" s="28">
        <v>4</v>
      </c>
      <c r="H286" s="27" t="s">
        <v>18</v>
      </c>
    </row>
    <row r="287" spans="1:8" x14ac:dyDescent="0.25">
      <c r="A287" s="26">
        <v>46263</v>
      </c>
      <c r="B287" s="27" t="s">
        <v>66</v>
      </c>
      <c r="C287" s="28">
        <v>0.53</v>
      </c>
      <c r="D287" s="28">
        <v>30.188679245283016</v>
      </c>
      <c r="E287" s="28">
        <v>23.5</v>
      </c>
      <c r="F287" s="28">
        <v>16</v>
      </c>
      <c r="G287" s="28">
        <v>3.5449999999999986</v>
      </c>
      <c r="H287" s="27" t="s">
        <v>11</v>
      </c>
    </row>
    <row r="288" spans="1:8" x14ac:dyDescent="0.25">
      <c r="A288" s="26">
        <v>46263</v>
      </c>
      <c r="B288" s="27" t="s">
        <v>17</v>
      </c>
      <c r="C288" s="28">
        <v>3</v>
      </c>
      <c r="D288" s="28">
        <v>6</v>
      </c>
      <c r="E288" s="28">
        <v>4.5571428571428569</v>
      </c>
      <c r="F288" s="28">
        <v>18</v>
      </c>
      <c r="G288" s="28">
        <v>4.3285714285714292</v>
      </c>
      <c r="H288" s="27" t="s">
        <v>18</v>
      </c>
    </row>
    <row r="289" spans="1:8" x14ac:dyDescent="0.25">
      <c r="A289" s="26">
        <v>46263</v>
      </c>
      <c r="B289" s="27" t="s">
        <v>65</v>
      </c>
      <c r="C289" s="28">
        <v>1</v>
      </c>
      <c r="D289" s="28">
        <v>16</v>
      </c>
      <c r="E289" s="28">
        <v>15</v>
      </c>
      <c r="F289" s="28">
        <v>16</v>
      </c>
      <c r="G289" s="28">
        <v>1</v>
      </c>
      <c r="H289" s="27" t="s">
        <v>18</v>
      </c>
    </row>
    <row r="290" spans="1:8" x14ac:dyDescent="0.25">
      <c r="A290" s="26">
        <v>46263</v>
      </c>
      <c r="B290" s="27" t="s">
        <v>62</v>
      </c>
      <c r="C290" s="28">
        <v>1</v>
      </c>
      <c r="D290" s="28">
        <v>14</v>
      </c>
      <c r="E290" s="28">
        <v>12</v>
      </c>
      <c r="F290" s="28">
        <v>14</v>
      </c>
      <c r="G290" s="28">
        <v>2</v>
      </c>
      <c r="H290" s="27" t="s">
        <v>18</v>
      </c>
    </row>
    <row r="291" spans="1:8" x14ac:dyDescent="0.25">
      <c r="A291" s="26">
        <v>46263</v>
      </c>
      <c r="B291" s="27" t="s">
        <v>24</v>
      </c>
      <c r="C291" s="28">
        <v>2</v>
      </c>
      <c r="D291" s="28">
        <v>9</v>
      </c>
      <c r="E291" s="28">
        <v>7</v>
      </c>
      <c r="F291" s="28">
        <v>18</v>
      </c>
      <c r="G291" s="28">
        <v>4</v>
      </c>
      <c r="H291" s="27" t="s">
        <v>25</v>
      </c>
    </row>
    <row r="292" spans="1:8" x14ac:dyDescent="0.25">
      <c r="A292" s="26">
        <v>46263</v>
      </c>
      <c r="B292" s="27" t="s">
        <v>26</v>
      </c>
      <c r="C292" s="28">
        <v>1</v>
      </c>
      <c r="D292" s="28">
        <v>26</v>
      </c>
      <c r="E292" s="28">
        <v>24.558823529411764</v>
      </c>
      <c r="F292" s="28">
        <v>26</v>
      </c>
      <c r="G292" s="28">
        <v>1.4411764705882355</v>
      </c>
      <c r="H292" s="27" t="s">
        <v>25</v>
      </c>
    </row>
    <row r="293" spans="1:8" x14ac:dyDescent="0.25">
      <c r="A293" s="29">
        <v>46264</v>
      </c>
      <c r="B293" s="30" t="s">
        <v>20</v>
      </c>
      <c r="C293" s="31">
        <v>0.4</v>
      </c>
      <c r="D293" s="31">
        <v>30</v>
      </c>
      <c r="E293" s="31">
        <v>27</v>
      </c>
      <c r="F293" s="31">
        <v>12</v>
      </c>
      <c r="G293" s="31">
        <v>1.2000000000000002</v>
      </c>
      <c r="H293" s="30" t="s">
        <v>11</v>
      </c>
    </row>
    <row r="294" spans="1:8" x14ac:dyDescent="0.25">
      <c r="A294" s="29">
        <v>46264</v>
      </c>
      <c r="B294" s="30" t="s">
        <v>20</v>
      </c>
      <c r="C294" s="31">
        <v>0.45</v>
      </c>
      <c r="D294" s="31">
        <v>28.888888888888889</v>
      </c>
      <c r="E294" s="31">
        <v>27</v>
      </c>
      <c r="F294" s="31">
        <v>13</v>
      </c>
      <c r="G294" s="31">
        <v>0.8500000000000002</v>
      </c>
      <c r="H294" s="30" t="s">
        <v>11</v>
      </c>
    </row>
    <row r="295" spans="1:8" x14ac:dyDescent="0.25">
      <c r="A295" s="29">
        <v>46264</v>
      </c>
      <c r="B295" s="30" t="s">
        <v>20</v>
      </c>
      <c r="C295" s="31">
        <v>0.4</v>
      </c>
      <c r="D295" s="31">
        <v>30</v>
      </c>
      <c r="E295" s="31">
        <v>27</v>
      </c>
      <c r="F295" s="31">
        <v>12</v>
      </c>
      <c r="G295" s="31">
        <v>1.2000000000000002</v>
      </c>
      <c r="H295" s="30" t="s">
        <v>11</v>
      </c>
    </row>
    <row r="296" spans="1:8" x14ac:dyDescent="0.25">
      <c r="A296" s="29">
        <v>46264</v>
      </c>
      <c r="B296" s="30" t="s">
        <v>20</v>
      </c>
      <c r="C296" s="31">
        <v>0.43</v>
      </c>
      <c r="D296" s="31">
        <v>30.232558139534884</v>
      </c>
      <c r="E296" s="31">
        <v>27</v>
      </c>
      <c r="F296" s="31">
        <v>13</v>
      </c>
      <c r="G296" s="31">
        <v>1.3900000000000001</v>
      </c>
      <c r="H296" s="30" t="s">
        <v>11</v>
      </c>
    </row>
    <row r="297" spans="1:8" x14ac:dyDescent="0.25">
      <c r="A297" s="29">
        <v>46264</v>
      </c>
      <c r="B297" s="30" t="s">
        <v>24</v>
      </c>
      <c r="C297" s="31">
        <v>1</v>
      </c>
      <c r="D297" s="31">
        <v>9</v>
      </c>
      <c r="E297" s="31">
        <v>7</v>
      </c>
      <c r="F297" s="31">
        <v>9</v>
      </c>
      <c r="G297" s="31">
        <v>2</v>
      </c>
      <c r="H297" s="30" t="s">
        <v>25</v>
      </c>
    </row>
    <row r="298" spans="1:8" x14ac:dyDescent="0.25">
      <c r="A298" s="29">
        <v>46264</v>
      </c>
      <c r="B298" s="30" t="s">
        <v>66</v>
      </c>
      <c r="C298" s="31">
        <v>0.64</v>
      </c>
      <c r="D298" s="31">
        <v>29.6875</v>
      </c>
      <c r="E298" s="31">
        <v>23.5</v>
      </c>
      <c r="F298" s="31">
        <v>19</v>
      </c>
      <c r="G298" s="31">
        <v>3.96</v>
      </c>
      <c r="H298" s="30" t="s">
        <v>11</v>
      </c>
    </row>
    <row r="299" spans="1:8" x14ac:dyDescent="0.25">
      <c r="A299" s="29">
        <v>46264</v>
      </c>
      <c r="B299" s="30" t="s">
        <v>74</v>
      </c>
      <c r="C299" s="31">
        <v>0.95</v>
      </c>
      <c r="D299" s="31">
        <v>17.894736842105264</v>
      </c>
      <c r="E299" s="31">
        <v>16.5</v>
      </c>
      <c r="F299" s="31">
        <v>17</v>
      </c>
      <c r="G299" s="31">
        <v>1.3250000000000004</v>
      </c>
      <c r="H299" s="30" t="s">
        <v>11</v>
      </c>
    </row>
    <row r="300" spans="1:8" x14ac:dyDescent="0.25">
      <c r="A300" s="29">
        <v>46264</v>
      </c>
      <c r="B300" s="30" t="s">
        <v>66</v>
      </c>
      <c r="C300" s="31">
        <v>0.53</v>
      </c>
      <c r="D300" s="31">
        <v>30.188679245283016</v>
      </c>
      <c r="E300" s="31">
        <v>23.5</v>
      </c>
      <c r="F300" s="31">
        <v>16</v>
      </c>
      <c r="G300" s="31">
        <v>3.5449999999999986</v>
      </c>
      <c r="H300" s="30" t="s">
        <v>11</v>
      </c>
    </row>
    <row r="301" spans="1:8" x14ac:dyDescent="0.25">
      <c r="A301" s="29">
        <v>46264</v>
      </c>
      <c r="B301" s="30" t="s">
        <v>12</v>
      </c>
      <c r="C301" s="31">
        <v>1.53</v>
      </c>
      <c r="D301" s="31">
        <v>18.300653594771241</v>
      </c>
      <c r="E301" s="31">
        <v>18</v>
      </c>
      <c r="F301" s="31">
        <v>28</v>
      </c>
      <c r="G301" s="31">
        <v>0.45999999999999835</v>
      </c>
      <c r="H301" s="30" t="s">
        <v>11</v>
      </c>
    </row>
    <row r="302" spans="1:8" x14ac:dyDescent="0.25">
      <c r="A302" s="29">
        <v>46264</v>
      </c>
      <c r="B302" s="30" t="s">
        <v>17</v>
      </c>
      <c r="C302" s="31">
        <v>6</v>
      </c>
      <c r="D302" s="31">
        <v>6</v>
      </c>
      <c r="E302" s="31">
        <v>4.5571428571428569</v>
      </c>
      <c r="F302" s="31">
        <v>36</v>
      </c>
      <c r="G302" s="31">
        <v>8.6571428571428584</v>
      </c>
      <c r="H302" s="30" t="s">
        <v>18</v>
      </c>
    </row>
    <row r="303" spans="1:8" x14ac:dyDescent="0.25">
      <c r="A303" s="29">
        <v>46264</v>
      </c>
      <c r="B303" s="30" t="s">
        <v>24</v>
      </c>
      <c r="C303" s="31">
        <v>3</v>
      </c>
      <c r="D303" s="31">
        <v>9</v>
      </c>
      <c r="E303" s="31">
        <v>7</v>
      </c>
      <c r="F303" s="31">
        <v>27</v>
      </c>
      <c r="G303" s="31">
        <v>6</v>
      </c>
      <c r="H303" s="30" t="s">
        <v>25</v>
      </c>
    </row>
    <row r="304" spans="1:8" x14ac:dyDescent="0.25">
      <c r="A304" s="29">
        <v>46264</v>
      </c>
      <c r="B304" s="30" t="s">
        <v>64</v>
      </c>
      <c r="C304" s="31">
        <v>1.1299999999999999</v>
      </c>
      <c r="D304" s="31">
        <v>22.123893805309738</v>
      </c>
      <c r="E304" s="31">
        <v>18</v>
      </c>
      <c r="F304" s="31">
        <v>25</v>
      </c>
      <c r="G304" s="31">
        <v>4.6600000000000037</v>
      </c>
      <c r="H304" s="30" t="s">
        <v>11</v>
      </c>
    </row>
    <row r="305" spans="1:8" x14ac:dyDescent="0.25">
      <c r="A305" s="29">
        <v>46264</v>
      </c>
      <c r="B305" s="30" t="s">
        <v>27</v>
      </c>
      <c r="C305" s="31">
        <v>4</v>
      </c>
      <c r="D305" s="31">
        <v>24</v>
      </c>
      <c r="E305" s="31">
        <v>22</v>
      </c>
      <c r="F305" s="31">
        <v>96</v>
      </c>
      <c r="G305" s="31">
        <v>8</v>
      </c>
      <c r="H305" s="30" t="s">
        <v>18</v>
      </c>
    </row>
    <row r="306" spans="1:8" x14ac:dyDescent="0.25">
      <c r="A306" s="29">
        <v>46264</v>
      </c>
      <c r="B306" s="30" t="s">
        <v>15</v>
      </c>
      <c r="C306" s="31">
        <v>1.65</v>
      </c>
      <c r="D306" s="31">
        <v>16.969696969696969</v>
      </c>
      <c r="E306" s="31">
        <v>14.735868991019546</v>
      </c>
      <c r="F306" s="31">
        <v>28</v>
      </c>
      <c r="G306" s="31">
        <v>3.6858161648177483</v>
      </c>
      <c r="H306" s="30" t="s">
        <v>11</v>
      </c>
    </row>
    <row r="307" spans="1:8" x14ac:dyDescent="0.25">
      <c r="A307" s="29">
        <v>46264</v>
      </c>
      <c r="B307" s="30" t="s">
        <v>14</v>
      </c>
      <c r="C307" s="31">
        <v>4.79</v>
      </c>
      <c r="D307" s="31">
        <v>21.085594989561585</v>
      </c>
      <c r="E307" s="31">
        <v>20</v>
      </c>
      <c r="F307" s="31">
        <v>101</v>
      </c>
      <c r="G307" s="31">
        <v>5.1999999999999922</v>
      </c>
      <c r="H307" s="30" t="s">
        <v>11</v>
      </c>
    </row>
    <row r="308" spans="1:8" x14ac:dyDescent="0.25">
      <c r="A308" s="29">
        <v>46264</v>
      </c>
      <c r="B308" s="30" t="s">
        <v>72</v>
      </c>
      <c r="C308" s="31">
        <v>3.35</v>
      </c>
      <c r="D308" s="31">
        <v>19.104477611940297</v>
      </c>
      <c r="E308" s="31">
        <v>15.5</v>
      </c>
      <c r="F308" s="31">
        <v>64</v>
      </c>
      <c r="G308" s="31">
        <v>12.074999999999994</v>
      </c>
      <c r="H308" s="30" t="s">
        <v>11</v>
      </c>
    </row>
    <row r="309" spans="1:8" x14ac:dyDescent="0.25">
      <c r="A309" s="29">
        <v>46264</v>
      </c>
      <c r="B309" s="30" t="s">
        <v>73</v>
      </c>
      <c r="C309" s="31">
        <v>1</v>
      </c>
      <c r="D309" s="31">
        <v>22</v>
      </c>
      <c r="E309" s="31">
        <v>20</v>
      </c>
      <c r="F309" s="31">
        <v>22</v>
      </c>
      <c r="G309" s="31">
        <v>2</v>
      </c>
      <c r="H309" s="30" t="s">
        <v>18</v>
      </c>
    </row>
    <row r="310" spans="1:8" x14ac:dyDescent="0.25">
      <c r="A310" s="29">
        <v>46264</v>
      </c>
      <c r="B310" s="30" t="s">
        <v>13</v>
      </c>
      <c r="C310" s="31">
        <v>5.36</v>
      </c>
      <c r="D310" s="31">
        <v>19.029850746268657</v>
      </c>
      <c r="E310" s="31">
        <v>17.641139421700544</v>
      </c>
      <c r="F310" s="31">
        <v>102</v>
      </c>
      <c r="G310" s="31">
        <v>7.4434926996850885</v>
      </c>
      <c r="H310" s="30" t="s">
        <v>11</v>
      </c>
    </row>
    <row r="311" spans="1:8" x14ac:dyDescent="0.25">
      <c r="A311" s="29">
        <v>46264</v>
      </c>
      <c r="B311" s="30" t="s">
        <v>74</v>
      </c>
      <c r="C311" s="31">
        <v>3.89</v>
      </c>
      <c r="D311" s="31">
        <v>17.737789203084834</v>
      </c>
      <c r="E311" s="31">
        <v>16.5</v>
      </c>
      <c r="F311" s="31">
        <v>69</v>
      </c>
      <c r="G311" s="31">
        <v>4.8150000000000031</v>
      </c>
      <c r="H311" s="30" t="s">
        <v>11</v>
      </c>
    </row>
    <row r="312" spans="1:8" x14ac:dyDescent="0.25">
      <c r="A312" s="4"/>
      <c r="B312" s="4"/>
      <c r="C312" s="4"/>
      <c r="D312" s="4"/>
      <c r="E312" s="4" t="str">
        <f>IF(B312="","",VLOOKUP(B312,Stock!$A$5:$E$21,5,FALSE))</f>
        <v/>
      </c>
      <c r="F312" s="4" t="str">
        <f t="shared" ref="F312:F329" si="0">IF(OR(C312="",D312=""),"",C312*D312)</f>
        <v/>
      </c>
      <c r="G312" s="4" t="str">
        <f t="shared" ref="G312:G329" si="1">IF(OR(C312="",D312="",E312=""),"",(D312-E312)*C312)</f>
        <v/>
      </c>
      <c r="H312" s="4" t="str">
        <f>IF(B312="","",VLOOKUP(B312,Stock!$A$5:$B$21,2,FALSE))</f>
        <v/>
      </c>
    </row>
    <row r="313" spans="1:8" x14ac:dyDescent="0.25">
      <c r="A313" s="4"/>
      <c r="B313" s="4"/>
      <c r="C313" s="4"/>
      <c r="D313" s="4"/>
      <c r="E313" s="4" t="str">
        <f>IF(B313="","",VLOOKUP(B313,Stock!$A$5:$E$21,5,FALSE))</f>
        <v/>
      </c>
      <c r="F313" s="4" t="str">
        <f t="shared" si="0"/>
        <v/>
      </c>
      <c r="G313" s="4" t="str">
        <f t="shared" si="1"/>
        <v/>
      </c>
      <c r="H313" s="4" t="str">
        <f>IF(B313="","",VLOOKUP(B313,Stock!$A$5:$B$21,2,FALSE))</f>
        <v/>
      </c>
    </row>
    <row r="314" spans="1:8" x14ac:dyDescent="0.25">
      <c r="A314" s="4"/>
      <c r="B314" s="4"/>
      <c r="C314" s="4"/>
      <c r="D314" s="4"/>
      <c r="E314" s="4" t="str">
        <f>IF(B314="","",VLOOKUP(B314,Stock!$A$5:$E$21,5,FALSE))</f>
        <v/>
      </c>
      <c r="F314" s="4" t="str">
        <f t="shared" si="0"/>
        <v/>
      </c>
      <c r="G314" s="4" t="str">
        <f t="shared" si="1"/>
        <v/>
      </c>
      <c r="H314" s="4" t="str">
        <f>IF(B314="","",VLOOKUP(B314,Stock!$A$5:$B$21,2,FALSE))</f>
        <v/>
      </c>
    </row>
    <row r="315" spans="1:8" x14ac:dyDescent="0.25">
      <c r="A315" s="4"/>
      <c r="B315" s="4"/>
      <c r="C315" s="4"/>
      <c r="D315" s="4"/>
      <c r="E315" s="4" t="str">
        <f>IF(B315="","",VLOOKUP(B315,Stock!$A$5:$E$21,5,FALSE))</f>
        <v/>
      </c>
      <c r="F315" s="4" t="str">
        <f t="shared" si="0"/>
        <v/>
      </c>
      <c r="G315" s="4" t="str">
        <f t="shared" si="1"/>
        <v/>
      </c>
      <c r="H315" s="4" t="str">
        <f>IF(B315="","",VLOOKUP(B315,Stock!$A$5:$B$21,2,FALSE))</f>
        <v/>
      </c>
    </row>
    <row r="316" spans="1:8" x14ac:dyDescent="0.25">
      <c r="A316" s="4"/>
      <c r="B316" s="4"/>
      <c r="C316" s="4"/>
      <c r="D316" s="4"/>
      <c r="E316" s="4" t="str">
        <f>IF(B316="","",VLOOKUP(B316,Stock!$A$5:$E$21,5,FALSE))</f>
        <v/>
      </c>
      <c r="F316" s="4" t="str">
        <f t="shared" si="0"/>
        <v/>
      </c>
      <c r="G316" s="4" t="str">
        <f t="shared" si="1"/>
        <v/>
      </c>
      <c r="H316" s="4" t="str">
        <f>IF(B316="","",VLOOKUP(B316,Stock!$A$5:$B$21,2,FALSE))</f>
        <v/>
      </c>
    </row>
    <row r="317" spans="1:8" x14ac:dyDescent="0.25">
      <c r="A317" s="4"/>
      <c r="B317" s="4"/>
      <c r="C317" s="4"/>
      <c r="D317" s="4"/>
      <c r="E317" s="4" t="str">
        <f>IF(B317="","",VLOOKUP(B317,Stock!$A$5:$E$21,5,FALSE))</f>
        <v/>
      </c>
      <c r="F317" s="4" t="str">
        <f t="shared" si="0"/>
        <v/>
      </c>
      <c r="G317" s="4" t="str">
        <f t="shared" si="1"/>
        <v/>
      </c>
      <c r="H317" s="4" t="str">
        <f>IF(B317="","",VLOOKUP(B317,Stock!$A$5:$B$21,2,FALSE))</f>
        <v/>
      </c>
    </row>
    <row r="318" spans="1:8" x14ac:dyDescent="0.25">
      <c r="A318" s="4"/>
      <c r="B318" s="4"/>
      <c r="C318" s="4"/>
      <c r="D318" s="4"/>
      <c r="E318" s="4" t="str">
        <f>IF(B318="","",VLOOKUP(B318,Stock!$A$5:$E$21,5,FALSE))</f>
        <v/>
      </c>
      <c r="F318" s="4" t="str">
        <f t="shared" si="0"/>
        <v/>
      </c>
      <c r="G318" s="4" t="str">
        <f t="shared" si="1"/>
        <v/>
      </c>
      <c r="H318" s="4" t="str">
        <f>IF(B318="","",VLOOKUP(B318,Stock!$A$5:$B$21,2,FALSE))</f>
        <v/>
      </c>
    </row>
    <row r="319" spans="1:8" x14ac:dyDescent="0.25">
      <c r="A319" s="4"/>
      <c r="B319" s="4"/>
      <c r="C319" s="4"/>
      <c r="D319" s="4"/>
      <c r="E319" s="4" t="str">
        <f>IF(B319="","",VLOOKUP(B319,Stock!$A$5:$E$21,5,FALSE))</f>
        <v/>
      </c>
      <c r="F319" s="4" t="str">
        <f t="shared" si="0"/>
        <v/>
      </c>
      <c r="G319" s="4" t="str">
        <f t="shared" si="1"/>
        <v/>
      </c>
      <c r="H319" s="4" t="str">
        <f>IF(B319="","",VLOOKUP(B319,Stock!$A$5:$B$21,2,FALSE))</f>
        <v/>
      </c>
    </row>
    <row r="320" spans="1:8" x14ac:dyDescent="0.25">
      <c r="A320" s="4"/>
      <c r="B320" s="4"/>
      <c r="C320" s="4"/>
      <c r="D320" s="4"/>
      <c r="E320" s="4" t="str">
        <f>IF(B320="","",VLOOKUP(B320,Stock!$A$5:$E$21,5,FALSE))</f>
        <v/>
      </c>
      <c r="F320" s="4" t="str">
        <f t="shared" si="0"/>
        <v/>
      </c>
      <c r="G320" s="4" t="str">
        <f t="shared" si="1"/>
        <v/>
      </c>
      <c r="H320" s="4" t="str">
        <f>IF(B320="","",VLOOKUP(B320,Stock!$A$5:$B$21,2,FALSE))</f>
        <v/>
      </c>
    </row>
    <row r="321" spans="1:8" x14ac:dyDescent="0.25">
      <c r="A321" s="4"/>
      <c r="B321" s="4"/>
      <c r="C321" s="4"/>
      <c r="D321" s="4"/>
      <c r="E321" s="4" t="str">
        <f>IF(B321="","",VLOOKUP(B321,Stock!$A$5:$E$21,5,FALSE))</f>
        <v/>
      </c>
      <c r="F321" s="4" t="str">
        <f t="shared" si="0"/>
        <v/>
      </c>
      <c r="G321" s="4" t="str">
        <f t="shared" si="1"/>
        <v/>
      </c>
      <c r="H321" s="4" t="str">
        <f>IF(B321="","",VLOOKUP(B321,Stock!$A$5:$B$21,2,FALSE))</f>
        <v/>
      </c>
    </row>
    <row r="322" spans="1:8" x14ac:dyDescent="0.25">
      <c r="A322" s="4"/>
      <c r="B322" s="4"/>
      <c r="C322" s="4"/>
      <c r="D322" s="4"/>
      <c r="E322" s="4" t="str">
        <f>IF(B322="","",VLOOKUP(B322,Stock!$A$5:$E$21,5,FALSE))</f>
        <v/>
      </c>
      <c r="F322" s="4" t="str">
        <f t="shared" si="0"/>
        <v/>
      </c>
      <c r="G322" s="4" t="str">
        <f t="shared" si="1"/>
        <v/>
      </c>
      <c r="H322" s="4" t="str">
        <f>IF(B322="","",VLOOKUP(B322,Stock!$A$5:$B$21,2,FALSE))</f>
        <v/>
      </c>
    </row>
    <row r="323" spans="1:8" x14ac:dyDescent="0.25">
      <c r="A323" s="4"/>
      <c r="B323" s="4"/>
      <c r="C323" s="4"/>
      <c r="D323" s="4"/>
      <c r="E323" s="4" t="str">
        <f>IF(B323="","",VLOOKUP(B323,Stock!$A$5:$E$21,5,FALSE))</f>
        <v/>
      </c>
      <c r="F323" s="4" t="str">
        <f t="shared" si="0"/>
        <v/>
      </c>
      <c r="G323" s="4" t="str">
        <f t="shared" si="1"/>
        <v/>
      </c>
      <c r="H323" s="4" t="str">
        <f>IF(B323="","",VLOOKUP(B323,Stock!$A$5:$B$21,2,FALSE))</f>
        <v/>
      </c>
    </row>
    <row r="324" spans="1:8" x14ac:dyDescent="0.25">
      <c r="A324" s="4"/>
      <c r="B324" s="4"/>
      <c r="C324" s="4"/>
      <c r="D324" s="4"/>
      <c r="E324" s="4" t="str">
        <f>IF(B324="","",VLOOKUP(B324,Stock!$A$5:$E$21,5,FALSE))</f>
        <v/>
      </c>
      <c r="F324" s="4" t="str">
        <f t="shared" si="0"/>
        <v/>
      </c>
      <c r="G324" s="4" t="str">
        <f t="shared" si="1"/>
        <v/>
      </c>
      <c r="H324" s="4" t="str">
        <f>IF(B324="","",VLOOKUP(B324,Stock!$A$5:$B$21,2,FALSE))</f>
        <v/>
      </c>
    </row>
    <row r="325" spans="1:8" x14ac:dyDescent="0.25">
      <c r="A325" s="4"/>
      <c r="B325" s="4"/>
      <c r="C325" s="4"/>
      <c r="D325" s="4"/>
      <c r="E325" s="4" t="str">
        <f>IF(B325="","",VLOOKUP(B325,Stock!$A$5:$E$21,5,FALSE))</f>
        <v/>
      </c>
      <c r="F325" s="4" t="str">
        <f t="shared" si="0"/>
        <v/>
      </c>
      <c r="G325" s="4" t="str">
        <f t="shared" si="1"/>
        <v/>
      </c>
      <c r="H325" s="4" t="str">
        <f>IF(B325="","",VLOOKUP(B325,Stock!$A$5:$B$21,2,FALSE))</f>
        <v/>
      </c>
    </row>
    <row r="326" spans="1:8" x14ac:dyDescent="0.25">
      <c r="A326" s="4"/>
      <c r="B326" s="4"/>
      <c r="C326" s="4"/>
      <c r="D326" s="4"/>
      <c r="E326" s="4" t="str">
        <f>IF(B326="","",VLOOKUP(B326,Stock!$A$5:$E$21,5,FALSE))</f>
        <v/>
      </c>
      <c r="F326" s="4" t="str">
        <f t="shared" si="0"/>
        <v/>
      </c>
      <c r="G326" s="4" t="str">
        <f t="shared" si="1"/>
        <v/>
      </c>
      <c r="H326" s="4" t="str">
        <f>IF(B326="","",VLOOKUP(B326,Stock!$A$5:$B$21,2,FALSE))</f>
        <v/>
      </c>
    </row>
    <row r="327" spans="1:8" x14ac:dyDescent="0.25">
      <c r="A327" s="4"/>
      <c r="B327" s="4"/>
      <c r="C327" s="4"/>
      <c r="D327" s="4"/>
      <c r="E327" s="4" t="str">
        <f>IF(B327="","",VLOOKUP(B327,Stock!$A$5:$E$21,5,FALSE))</f>
        <v/>
      </c>
      <c r="F327" s="4" t="str">
        <f t="shared" si="0"/>
        <v/>
      </c>
      <c r="G327" s="4" t="str">
        <f t="shared" si="1"/>
        <v/>
      </c>
      <c r="H327" s="4" t="str">
        <f>IF(B327="","",VLOOKUP(B327,Stock!$A$5:$B$21,2,FALSE))</f>
        <v/>
      </c>
    </row>
    <row r="328" spans="1:8" x14ac:dyDescent="0.25">
      <c r="A328" s="4"/>
      <c r="B328" s="4"/>
      <c r="C328" s="4"/>
      <c r="D328" s="4"/>
      <c r="E328" s="4" t="str">
        <f>IF(B328="","",VLOOKUP(B328,Stock!$A$5:$E$21,5,FALSE))</f>
        <v/>
      </c>
      <c r="F328" s="4" t="str">
        <f t="shared" si="0"/>
        <v/>
      </c>
      <c r="G328" s="4" t="str">
        <f t="shared" si="1"/>
        <v/>
      </c>
      <c r="H328" s="4" t="str">
        <f>IF(B328="","",VLOOKUP(B328,Stock!$A$5:$B$21,2,FALSE))</f>
        <v/>
      </c>
    </row>
    <row r="329" spans="1:8" x14ac:dyDescent="0.25">
      <c r="A329" s="4"/>
      <c r="B329" s="4"/>
      <c r="C329" s="4"/>
      <c r="D329" s="4"/>
      <c r="E329" s="4" t="str">
        <f>IF(B329="","",VLOOKUP(B329,Stock!$A$5:$E$21,5,FALSE))</f>
        <v/>
      </c>
      <c r="F329" s="4" t="str">
        <f t="shared" si="0"/>
        <v/>
      </c>
      <c r="G329" s="4" t="str">
        <f t="shared" si="1"/>
        <v/>
      </c>
      <c r="H329" s="4" t="str">
        <f>IF(B329="","",VLOOKUP(B329,Stock!$A$5:$B$21,2,FALSE))</f>
        <v/>
      </c>
    </row>
    <row r="330" spans="1:8" x14ac:dyDescent="0.25">
      <c r="A330" s="4"/>
      <c r="B330" s="4"/>
      <c r="C330" s="4"/>
      <c r="D330" s="4"/>
      <c r="E330" s="4" t="str">
        <f>IF(B330="","",VLOOKUP(B330,Stock!$A$5:$E$21,5,FALSE))</f>
        <v/>
      </c>
      <c r="F330" s="4" t="str">
        <f t="shared" ref="F330:F393" si="2">IF(OR(C330="",D330=""),"",C330*D330)</f>
        <v/>
      </c>
      <c r="G330" s="4" t="str">
        <f t="shared" ref="G330:G393" si="3">IF(OR(C330="",D330="",E330=""),"",(D330-E330)*C330)</f>
        <v/>
      </c>
      <c r="H330" s="4" t="str">
        <f>IF(B330="","",VLOOKUP(B330,Stock!$A$5:$B$21,2,FALSE))</f>
        <v/>
      </c>
    </row>
    <row r="331" spans="1:8" x14ac:dyDescent="0.25">
      <c r="A331" s="4"/>
      <c r="B331" s="4"/>
      <c r="C331" s="4"/>
      <c r="D331" s="4"/>
      <c r="E331" s="4" t="str">
        <f>IF(B331="","",VLOOKUP(B331,Stock!$A$5:$E$21,5,FALSE))</f>
        <v/>
      </c>
      <c r="F331" s="4" t="str">
        <f t="shared" si="2"/>
        <v/>
      </c>
      <c r="G331" s="4" t="str">
        <f t="shared" si="3"/>
        <v/>
      </c>
      <c r="H331" s="4" t="str">
        <f>IF(B331="","",VLOOKUP(B331,Stock!$A$5:$B$21,2,FALSE))</f>
        <v/>
      </c>
    </row>
    <row r="332" spans="1:8" x14ac:dyDescent="0.25">
      <c r="A332" s="4"/>
      <c r="B332" s="4"/>
      <c r="C332" s="4"/>
      <c r="D332" s="4"/>
      <c r="E332" s="4" t="str">
        <f>IF(B332="","",VLOOKUP(B332,Stock!$A$5:$E$21,5,FALSE))</f>
        <v/>
      </c>
      <c r="F332" s="4" t="str">
        <f t="shared" si="2"/>
        <v/>
      </c>
      <c r="G332" s="4" t="str">
        <f t="shared" si="3"/>
        <v/>
      </c>
      <c r="H332" s="4" t="str">
        <f>IF(B332="","",VLOOKUP(B332,Stock!$A$5:$B$21,2,FALSE))</f>
        <v/>
      </c>
    </row>
    <row r="333" spans="1:8" x14ac:dyDescent="0.25">
      <c r="A333" s="4"/>
      <c r="B333" s="4"/>
      <c r="C333" s="4"/>
      <c r="D333" s="4"/>
      <c r="E333" s="4" t="str">
        <f>IF(B333="","",VLOOKUP(B333,Stock!$A$5:$E$21,5,FALSE))</f>
        <v/>
      </c>
      <c r="F333" s="4" t="str">
        <f t="shared" si="2"/>
        <v/>
      </c>
      <c r="G333" s="4" t="str">
        <f t="shared" si="3"/>
        <v/>
      </c>
      <c r="H333" s="4" t="str">
        <f>IF(B333="","",VLOOKUP(B333,Stock!$A$5:$B$21,2,FALSE))</f>
        <v/>
      </c>
    </row>
    <row r="334" spans="1:8" x14ac:dyDescent="0.25">
      <c r="A334" s="4"/>
      <c r="B334" s="4"/>
      <c r="C334" s="4"/>
      <c r="D334" s="4"/>
      <c r="E334" s="4" t="str">
        <f>IF(B334="","",VLOOKUP(B334,Stock!$A$5:$E$21,5,FALSE))</f>
        <v/>
      </c>
      <c r="F334" s="4" t="str">
        <f t="shared" si="2"/>
        <v/>
      </c>
      <c r="G334" s="4" t="str">
        <f t="shared" si="3"/>
        <v/>
      </c>
      <c r="H334" s="4" t="str">
        <f>IF(B334="","",VLOOKUP(B334,Stock!$A$5:$B$21,2,FALSE))</f>
        <v/>
      </c>
    </row>
    <row r="335" spans="1:8" x14ac:dyDescent="0.25">
      <c r="A335" s="4"/>
      <c r="B335" s="4"/>
      <c r="C335" s="4"/>
      <c r="D335" s="4"/>
      <c r="E335" s="4" t="str">
        <f>IF(B335="","",VLOOKUP(B335,Stock!$A$5:$E$21,5,FALSE))</f>
        <v/>
      </c>
      <c r="F335" s="4" t="str">
        <f t="shared" si="2"/>
        <v/>
      </c>
      <c r="G335" s="4" t="str">
        <f t="shared" si="3"/>
        <v/>
      </c>
      <c r="H335" s="4" t="str">
        <f>IF(B335="","",VLOOKUP(B335,Stock!$A$5:$B$21,2,FALSE))</f>
        <v/>
      </c>
    </row>
    <row r="336" spans="1:8" x14ac:dyDescent="0.25">
      <c r="A336" s="4"/>
      <c r="B336" s="4"/>
      <c r="C336" s="4"/>
      <c r="D336" s="4"/>
      <c r="E336" s="4" t="str">
        <f>IF(B336="","",VLOOKUP(B336,Stock!$A$5:$E$21,5,FALSE))</f>
        <v/>
      </c>
      <c r="F336" s="4" t="str">
        <f t="shared" si="2"/>
        <v/>
      </c>
      <c r="G336" s="4" t="str">
        <f t="shared" si="3"/>
        <v/>
      </c>
      <c r="H336" s="4" t="str">
        <f>IF(B336="","",VLOOKUP(B336,Stock!$A$5:$B$21,2,FALSE))</f>
        <v/>
      </c>
    </row>
    <row r="337" spans="1:8" x14ac:dyDescent="0.25">
      <c r="A337" s="4"/>
      <c r="B337" s="4"/>
      <c r="C337" s="4"/>
      <c r="D337" s="4"/>
      <c r="E337" s="4" t="str">
        <f>IF(B337="","",VLOOKUP(B337,Stock!$A$5:$E$21,5,FALSE))</f>
        <v/>
      </c>
      <c r="F337" s="4" t="str">
        <f t="shared" si="2"/>
        <v/>
      </c>
      <c r="G337" s="4" t="str">
        <f t="shared" si="3"/>
        <v/>
      </c>
      <c r="H337" s="4" t="str">
        <f>IF(B337="","",VLOOKUP(B337,Stock!$A$5:$B$21,2,FALSE))</f>
        <v/>
      </c>
    </row>
    <row r="338" spans="1:8" x14ac:dyDescent="0.25">
      <c r="A338" s="4"/>
      <c r="B338" s="4"/>
      <c r="C338" s="4"/>
      <c r="D338" s="4"/>
      <c r="E338" s="4" t="str">
        <f>IF(B338="","",VLOOKUP(B338,Stock!$A$5:$E$21,5,FALSE))</f>
        <v/>
      </c>
      <c r="F338" s="4" t="str">
        <f t="shared" si="2"/>
        <v/>
      </c>
      <c r="G338" s="4" t="str">
        <f t="shared" si="3"/>
        <v/>
      </c>
      <c r="H338" s="4" t="str">
        <f>IF(B338="","",VLOOKUP(B338,Stock!$A$5:$B$21,2,FALSE))</f>
        <v/>
      </c>
    </row>
    <row r="339" spans="1:8" x14ac:dyDescent="0.25">
      <c r="A339" s="4"/>
      <c r="B339" s="4"/>
      <c r="C339" s="4"/>
      <c r="D339" s="4"/>
      <c r="E339" s="4" t="str">
        <f>IF(B339="","",VLOOKUP(B339,Stock!$A$5:$E$21,5,FALSE))</f>
        <v/>
      </c>
      <c r="F339" s="4" t="str">
        <f t="shared" si="2"/>
        <v/>
      </c>
      <c r="G339" s="4" t="str">
        <f t="shared" si="3"/>
        <v/>
      </c>
      <c r="H339" s="4" t="str">
        <f>IF(B339="","",VLOOKUP(B339,Stock!$A$5:$B$21,2,FALSE))</f>
        <v/>
      </c>
    </row>
    <row r="340" spans="1:8" x14ac:dyDescent="0.25">
      <c r="A340" s="4"/>
      <c r="B340" s="4"/>
      <c r="C340" s="4"/>
      <c r="D340" s="4"/>
      <c r="E340" s="4" t="str">
        <f>IF(B340="","",VLOOKUP(B340,Stock!$A$5:$E$21,5,FALSE))</f>
        <v/>
      </c>
      <c r="F340" s="4" t="str">
        <f t="shared" si="2"/>
        <v/>
      </c>
      <c r="G340" s="4" t="str">
        <f t="shared" si="3"/>
        <v/>
      </c>
      <c r="H340" s="4" t="str">
        <f>IF(B340="","",VLOOKUP(B340,Stock!$A$5:$B$21,2,FALSE))</f>
        <v/>
      </c>
    </row>
    <row r="341" spans="1:8" x14ac:dyDescent="0.25">
      <c r="A341" s="4"/>
      <c r="B341" s="4"/>
      <c r="C341" s="4"/>
      <c r="D341" s="4"/>
      <c r="E341" s="4" t="str">
        <f>IF(B341="","",VLOOKUP(B341,Stock!$A$5:$E$21,5,FALSE))</f>
        <v/>
      </c>
      <c r="F341" s="4" t="str">
        <f t="shared" si="2"/>
        <v/>
      </c>
      <c r="G341" s="4" t="str">
        <f t="shared" si="3"/>
        <v/>
      </c>
      <c r="H341" s="4" t="str">
        <f>IF(B341="","",VLOOKUP(B341,Stock!$A$5:$B$21,2,FALSE))</f>
        <v/>
      </c>
    </row>
    <row r="342" spans="1:8" x14ac:dyDescent="0.25">
      <c r="A342" s="4"/>
      <c r="B342" s="4"/>
      <c r="C342" s="4"/>
      <c r="D342" s="4"/>
      <c r="E342" s="4" t="str">
        <f>IF(B342="","",VLOOKUP(B342,Stock!$A$5:$E$21,5,FALSE))</f>
        <v/>
      </c>
      <c r="F342" s="4" t="str">
        <f t="shared" si="2"/>
        <v/>
      </c>
      <c r="G342" s="4" t="str">
        <f t="shared" si="3"/>
        <v/>
      </c>
      <c r="H342" s="4" t="str">
        <f>IF(B342="","",VLOOKUP(B342,Stock!$A$5:$B$21,2,FALSE))</f>
        <v/>
      </c>
    </row>
    <row r="343" spans="1:8" x14ac:dyDescent="0.25">
      <c r="A343" s="4"/>
      <c r="B343" s="4"/>
      <c r="C343" s="4"/>
      <c r="D343" s="4"/>
      <c r="E343" s="4" t="str">
        <f>IF(B343="","",VLOOKUP(B343,Stock!$A$5:$E$21,5,FALSE))</f>
        <v/>
      </c>
      <c r="F343" s="4" t="str">
        <f t="shared" si="2"/>
        <v/>
      </c>
      <c r="G343" s="4" t="str">
        <f t="shared" si="3"/>
        <v/>
      </c>
      <c r="H343" s="4" t="str">
        <f>IF(B343="","",VLOOKUP(B343,Stock!$A$5:$B$21,2,FALSE))</f>
        <v/>
      </c>
    </row>
    <row r="344" spans="1:8" x14ac:dyDescent="0.25">
      <c r="A344" s="4"/>
      <c r="B344" s="4"/>
      <c r="C344" s="4"/>
      <c r="D344" s="4"/>
      <c r="E344" s="4" t="str">
        <f>IF(B344="","",VLOOKUP(B344,Stock!$A$5:$E$21,5,FALSE))</f>
        <v/>
      </c>
      <c r="F344" s="4" t="str">
        <f t="shared" si="2"/>
        <v/>
      </c>
      <c r="G344" s="4" t="str">
        <f t="shared" si="3"/>
        <v/>
      </c>
      <c r="H344" s="4" t="str">
        <f>IF(B344="","",VLOOKUP(B344,Stock!$A$5:$B$21,2,FALSE))</f>
        <v/>
      </c>
    </row>
    <row r="345" spans="1:8" x14ac:dyDescent="0.25">
      <c r="A345" s="4"/>
      <c r="B345" s="4"/>
      <c r="C345" s="4"/>
      <c r="D345" s="4"/>
      <c r="E345" s="4" t="str">
        <f>IF(B345="","",VLOOKUP(B345,Stock!$A$5:$E$21,5,FALSE))</f>
        <v/>
      </c>
      <c r="F345" s="4" t="str">
        <f t="shared" si="2"/>
        <v/>
      </c>
      <c r="G345" s="4" t="str">
        <f t="shared" si="3"/>
        <v/>
      </c>
      <c r="H345" s="4" t="str">
        <f>IF(B345="","",VLOOKUP(B345,Stock!$A$5:$B$21,2,FALSE))</f>
        <v/>
      </c>
    </row>
    <row r="346" spans="1:8" x14ac:dyDescent="0.25">
      <c r="A346" s="4"/>
      <c r="B346" s="4"/>
      <c r="C346" s="4"/>
      <c r="D346" s="4"/>
      <c r="E346" s="4" t="str">
        <f>IF(B346="","",VLOOKUP(B346,Stock!$A$5:$E$21,5,FALSE))</f>
        <v/>
      </c>
      <c r="F346" s="4" t="str">
        <f t="shared" si="2"/>
        <v/>
      </c>
      <c r="G346" s="4" t="str">
        <f t="shared" si="3"/>
        <v/>
      </c>
      <c r="H346" s="4" t="str">
        <f>IF(B346="","",VLOOKUP(B346,Stock!$A$5:$B$21,2,FALSE))</f>
        <v/>
      </c>
    </row>
    <row r="347" spans="1:8" x14ac:dyDescent="0.25">
      <c r="A347" s="4"/>
      <c r="B347" s="4"/>
      <c r="C347" s="4"/>
      <c r="D347" s="4"/>
      <c r="E347" s="4" t="str">
        <f>IF(B347="","",VLOOKUP(B347,Stock!$A$5:$E$21,5,FALSE))</f>
        <v/>
      </c>
      <c r="F347" s="4" t="str">
        <f t="shared" si="2"/>
        <v/>
      </c>
      <c r="G347" s="4" t="str">
        <f t="shared" si="3"/>
        <v/>
      </c>
      <c r="H347" s="4" t="str">
        <f>IF(B347="","",VLOOKUP(B347,Stock!$A$5:$B$21,2,FALSE))</f>
        <v/>
      </c>
    </row>
    <row r="348" spans="1:8" x14ac:dyDescent="0.25">
      <c r="A348" s="4"/>
      <c r="B348" s="4"/>
      <c r="C348" s="4"/>
      <c r="D348" s="4"/>
      <c r="E348" s="4" t="str">
        <f>IF(B348="","",VLOOKUP(B348,Stock!$A$5:$E$21,5,FALSE))</f>
        <v/>
      </c>
      <c r="F348" s="4" t="str">
        <f t="shared" si="2"/>
        <v/>
      </c>
      <c r="G348" s="4" t="str">
        <f t="shared" si="3"/>
        <v/>
      </c>
      <c r="H348" s="4" t="str">
        <f>IF(B348="","",VLOOKUP(B348,Stock!$A$5:$B$21,2,FALSE))</f>
        <v/>
      </c>
    </row>
    <row r="349" spans="1:8" x14ac:dyDescent="0.25">
      <c r="A349" s="4"/>
      <c r="B349" s="4"/>
      <c r="C349" s="4"/>
      <c r="D349" s="4"/>
      <c r="E349" s="4" t="str">
        <f>IF(B349="","",VLOOKUP(B349,Stock!$A$5:$E$21,5,FALSE))</f>
        <v/>
      </c>
      <c r="F349" s="4" t="str">
        <f t="shared" si="2"/>
        <v/>
      </c>
      <c r="G349" s="4" t="str">
        <f t="shared" si="3"/>
        <v/>
      </c>
      <c r="H349" s="4" t="str">
        <f>IF(B349="","",VLOOKUP(B349,Stock!$A$5:$B$21,2,FALSE))</f>
        <v/>
      </c>
    </row>
    <row r="350" spans="1:8" x14ac:dyDescent="0.25">
      <c r="A350" s="4"/>
      <c r="B350" s="4"/>
      <c r="C350" s="4"/>
      <c r="D350" s="4"/>
      <c r="E350" s="4" t="str">
        <f>IF(B350="","",VLOOKUP(B350,Stock!$A$5:$E$21,5,FALSE))</f>
        <v/>
      </c>
      <c r="F350" s="4" t="str">
        <f t="shared" si="2"/>
        <v/>
      </c>
      <c r="G350" s="4" t="str">
        <f t="shared" si="3"/>
        <v/>
      </c>
      <c r="H350" s="4" t="str">
        <f>IF(B350="","",VLOOKUP(B350,Stock!$A$5:$B$21,2,FALSE))</f>
        <v/>
      </c>
    </row>
    <row r="351" spans="1:8" x14ac:dyDescent="0.25">
      <c r="A351" s="4"/>
      <c r="B351" s="4"/>
      <c r="C351" s="4"/>
      <c r="D351" s="4"/>
      <c r="E351" s="4" t="str">
        <f>IF(B351="","",VLOOKUP(B351,Stock!$A$5:$E$21,5,FALSE))</f>
        <v/>
      </c>
      <c r="F351" s="4" t="str">
        <f t="shared" si="2"/>
        <v/>
      </c>
      <c r="G351" s="4" t="str">
        <f t="shared" si="3"/>
        <v/>
      </c>
      <c r="H351" s="4" t="str">
        <f>IF(B351="","",VLOOKUP(B351,Stock!$A$5:$B$21,2,FALSE))</f>
        <v/>
      </c>
    </row>
    <row r="352" spans="1:8" x14ac:dyDescent="0.25">
      <c r="A352" s="4"/>
      <c r="B352" s="4"/>
      <c r="C352" s="4"/>
      <c r="D352" s="4"/>
      <c r="E352" s="4" t="str">
        <f>IF(B352="","",VLOOKUP(B352,Stock!$A$5:$E$21,5,FALSE))</f>
        <v/>
      </c>
      <c r="F352" s="4" t="str">
        <f t="shared" si="2"/>
        <v/>
      </c>
      <c r="G352" s="4" t="str">
        <f t="shared" si="3"/>
        <v/>
      </c>
      <c r="H352" s="4" t="str">
        <f>IF(B352="","",VLOOKUP(B352,Stock!$A$5:$B$21,2,FALSE))</f>
        <v/>
      </c>
    </row>
    <row r="353" spans="1:8" x14ac:dyDescent="0.25">
      <c r="A353" s="4"/>
      <c r="B353" s="4"/>
      <c r="C353" s="4"/>
      <c r="D353" s="4"/>
      <c r="E353" s="4" t="str">
        <f>IF(B353="","",VLOOKUP(B353,Stock!$A$5:$E$21,5,FALSE))</f>
        <v/>
      </c>
      <c r="F353" s="4" t="str">
        <f t="shared" si="2"/>
        <v/>
      </c>
      <c r="G353" s="4" t="str">
        <f t="shared" si="3"/>
        <v/>
      </c>
      <c r="H353" s="4" t="str">
        <f>IF(B353="","",VLOOKUP(B353,Stock!$A$5:$B$21,2,FALSE))</f>
        <v/>
      </c>
    </row>
    <row r="354" spans="1:8" x14ac:dyDescent="0.25">
      <c r="A354" s="4"/>
      <c r="B354" s="4"/>
      <c r="C354" s="4"/>
      <c r="D354" s="4"/>
      <c r="E354" s="4" t="str">
        <f>IF(B354="","",VLOOKUP(B354,Stock!$A$5:$E$21,5,FALSE))</f>
        <v/>
      </c>
      <c r="F354" s="4" t="str">
        <f t="shared" si="2"/>
        <v/>
      </c>
      <c r="G354" s="4" t="str">
        <f t="shared" si="3"/>
        <v/>
      </c>
      <c r="H354" s="4" t="str">
        <f>IF(B354="","",VLOOKUP(B354,Stock!$A$5:$B$21,2,FALSE))</f>
        <v/>
      </c>
    </row>
    <row r="355" spans="1:8" x14ac:dyDescent="0.25">
      <c r="A355" s="4"/>
      <c r="B355" s="4"/>
      <c r="C355" s="4"/>
      <c r="D355" s="4"/>
      <c r="E355" s="4" t="str">
        <f>IF(B355="","",VLOOKUP(B355,Stock!$A$5:$E$21,5,FALSE))</f>
        <v/>
      </c>
      <c r="F355" s="4" t="str">
        <f t="shared" si="2"/>
        <v/>
      </c>
      <c r="G355" s="4" t="str">
        <f t="shared" si="3"/>
        <v/>
      </c>
      <c r="H355" s="4" t="str">
        <f>IF(B355="","",VLOOKUP(B355,Stock!$A$5:$B$21,2,FALSE))</f>
        <v/>
      </c>
    </row>
    <row r="356" spans="1:8" x14ac:dyDescent="0.25">
      <c r="A356" s="4"/>
      <c r="B356" s="4"/>
      <c r="C356" s="4"/>
      <c r="D356" s="4"/>
      <c r="E356" s="4" t="str">
        <f>IF(B356="","",VLOOKUP(B356,Stock!$A$5:$E$21,5,FALSE))</f>
        <v/>
      </c>
      <c r="F356" s="4" t="str">
        <f t="shared" si="2"/>
        <v/>
      </c>
      <c r="G356" s="4" t="str">
        <f t="shared" si="3"/>
        <v/>
      </c>
      <c r="H356" s="4" t="str">
        <f>IF(B356="","",VLOOKUP(B356,Stock!$A$5:$B$21,2,FALSE))</f>
        <v/>
      </c>
    </row>
    <row r="357" spans="1:8" x14ac:dyDescent="0.25">
      <c r="A357" s="4"/>
      <c r="B357" s="4"/>
      <c r="C357" s="4"/>
      <c r="D357" s="4"/>
      <c r="E357" s="4" t="str">
        <f>IF(B357="","",VLOOKUP(B357,Stock!$A$5:$E$21,5,FALSE))</f>
        <v/>
      </c>
      <c r="F357" s="4" t="str">
        <f t="shared" si="2"/>
        <v/>
      </c>
      <c r="G357" s="4" t="str">
        <f t="shared" si="3"/>
        <v/>
      </c>
      <c r="H357" s="4" t="str">
        <f>IF(B357="","",VLOOKUP(B357,Stock!$A$5:$B$21,2,FALSE))</f>
        <v/>
      </c>
    </row>
    <row r="358" spans="1:8" x14ac:dyDescent="0.25">
      <c r="A358" s="4"/>
      <c r="B358" s="4"/>
      <c r="C358" s="4"/>
      <c r="D358" s="4"/>
      <c r="E358" s="4" t="str">
        <f>IF(B358="","",VLOOKUP(B358,Stock!$A$5:$E$21,5,FALSE))</f>
        <v/>
      </c>
      <c r="F358" s="4" t="str">
        <f t="shared" si="2"/>
        <v/>
      </c>
      <c r="G358" s="4" t="str">
        <f t="shared" si="3"/>
        <v/>
      </c>
      <c r="H358" s="4" t="str">
        <f>IF(B358="","",VLOOKUP(B358,Stock!$A$5:$B$21,2,FALSE))</f>
        <v/>
      </c>
    </row>
    <row r="359" spans="1:8" x14ac:dyDescent="0.25">
      <c r="A359" s="4"/>
      <c r="B359" s="4"/>
      <c r="C359" s="4"/>
      <c r="D359" s="4"/>
      <c r="E359" s="4" t="str">
        <f>IF(B359="","",VLOOKUP(B359,Stock!$A$5:$E$21,5,FALSE))</f>
        <v/>
      </c>
      <c r="F359" s="4" t="str">
        <f t="shared" si="2"/>
        <v/>
      </c>
      <c r="G359" s="4" t="str">
        <f t="shared" si="3"/>
        <v/>
      </c>
      <c r="H359" s="4" t="str">
        <f>IF(B359="","",VLOOKUP(B359,Stock!$A$5:$B$21,2,FALSE))</f>
        <v/>
      </c>
    </row>
    <row r="360" spans="1:8" x14ac:dyDescent="0.25">
      <c r="A360" s="4"/>
      <c r="B360" s="4"/>
      <c r="C360" s="4"/>
      <c r="D360" s="4"/>
      <c r="E360" s="4" t="str">
        <f>IF(B360="","",VLOOKUP(B360,Stock!$A$5:$E$21,5,FALSE))</f>
        <v/>
      </c>
      <c r="F360" s="4" t="str">
        <f t="shared" si="2"/>
        <v/>
      </c>
      <c r="G360" s="4" t="str">
        <f t="shared" si="3"/>
        <v/>
      </c>
      <c r="H360" s="4" t="str">
        <f>IF(B360="","",VLOOKUP(B360,Stock!$A$5:$B$21,2,FALSE))</f>
        <v/>
      </c>
    </row>
    <row r="361" spans="1:8" x14ac:dyDescent="0.25">
      <c r="A361" s="4"/>
      <c r="B361" s="4"/>
      <c r="C361" s="4"/>
      <c r="D361" s="4"/>
      <c r="E361" s="4" t="str">
        <f>IF(B361="","",VLOOKUP(B361,Stock!$A$5:$E$21,5,FALSE))</f>
        <v/>
      </c>
      <c r="F361" s="4" t="str">
        <f t="shared" si="2"/>
        <v/>
      </c>
      <c r="G361" s="4" t="str">
        <f t="shared" si="3"/>
        <v/>
      </c>
      <c r="H361" s="4" t="str">
        <f>IF(B361="","",VLOOKUP(B361,Stock!$A$5:$B$21,2,FALSE))</f>
        <v/>
      </c>
    </row>
    <row r="362" spans="1:8" x14ac:dyDescent="0.25">
      <c r="A362" s="4"/>
      <c r="B362" s="4"/>
      <c r="C362" s="4"/>
      <c r="D362" s="4"/>
      <c r="E362" s="4" t="str">
        <f>IF(B362="","",VLOOKUP(B362,Stock!$A$5:$E$21,5,FALSE))</f>
        <v/>
      </c>
      <c r="F362" s="4" t="str">
        <f t="shared" si="2"/>
        <v/>
      </c>
      <c r="G362" s="4" t="str">
        <f t="shared" si="3"/>
        <v/>
      </c>
      <c r="H362" s="4" t="str">
        <f>IF(B362="","",VLOOKUP(B362,Stock!$A$5:$B$21,2,FALSE))</f>
        <v/>
      </c>
    </row>
    <row r="363" spans="1:8" x14ac:dyDescent="0.25">
      <c r="A363" s="4"/>
      <c r="B363" s="4"/>
      <c r="C363" s="4"/>
      <c r="D363" s="4"/>
      <c r="E363" s="4" t="str">
        <f>IF(B363="","",VLOOKUP(B363,Stock!$A$5:$E$21,5,FALSE))</f>
        <v/>
      </c>
      <c r="F363" s="4" t="str">
        <f t="shared" si="2"/>
        <v/>
      </c>
      <c r="G363" s="4" t="str">
        <f t="shared" si="3"/>
        <v/>
      </c>
      <c r="H363" s="4" t="str">
        <f>IF(B363="","",VLOOKUP(B363,Stock!$A$5:$B$21,2,FALSE))</f>
        <v/>
      </c>
    </row>
    <row r="364" spans="1:8" x14ac:dyDescent="0.25">
      <c r="A364" s="4"/>
      <c r="B364" s="4"/>
      <c r="C364" s="4"/>
      <c r="D364" s="4"/>
      <c r="E364" s="4" t="str">
        <f>IF(B364="","",VLOOKUP(B364,Stock!$A$5:$E$21,5,FALSE))</f>
        <v/>
      </c>
      <c r="F364" s="4" t="str">
        <f t="shared" si="2"/>
        <v/>
      </c>
      <c r="G364" s="4" t="str">
        <f t="shared" si="3"/>
        <v/>
      </c>
      <c r="H364" s="4" t="str">
        <f>IF(B364="","",VLOOKUP(B364,Stock!$A$5:$B$21,2,FALSE))</f>
        <v/>
      </c>
    </row>
    <row r="365" spans="1:8" x14ac:dyDescent="0.25">
      <c r="A365" s="4"/>
      <c r="B365" s="4"/>
      <c r="C365" s="4"/>
      <c r="D365" s="4"/>
      <c r="E365" s="4" t="str">
        <f>IF(B365="","",VLOOKUP(B365,Stock!$A$5:$E$21,5,FALSE))</f>
        <v/>
      </c>
      <c r="F365" s="4" t="str">
        <f t="shared" si="2"/>
        <v/>
      </c>
      <c r="G365" s="4" t="str">
        <f t="shared" si="3"/>
        <v/>
      </c>
      <c r="H365" s="4" t="str">
        <f>IF(B365="","",VLOOKUP(B365,Stock!$A$5:$B$21,2,FALSE))</f>
        <v/>
      </c>
    </row>
    <row r="366" spans="1:8" x14ac:dyDescent="0.25">
      <c r="A366" s="4"/>
      <c r="B366" s="4"/>
      <c r="C366" s="4"/>
      <c r="D366" s="4"/>
      <c r="E366" s="4" t="str">
        <f>IF(B366="","",VLOOKUP(B366,Stock!$A$5:$E$21,5,FALSE))</f>
        <v/>
      </c>
      <c r="F366" s="4" t="str">
        <f t="shared" si="2"/>
        <v/>
      </c>
      <c r="G366" s="4" t="str">
        <f t="shared" si="3"/>
        <v/>
      </c>
      <c r="H366" s="4" t="str">
        <f>IF(B366="","",VLOOKUP(B366,Stock!$A$5:$B$21,2,FALSE))</f>
        <v/>
      </c>
    </row>
    <row r="367" spans="1:8" x14ac:dyDescent="0.25">
      <c r="A367" s="4"/>
      <c r="B367" s="4"/>
      <c r="C367" s="4"/>
      <c r="D367" s="4"/>
      <c r="E367" s="4" t="str">
        <f>IF(B367="","",VLOOKUP(B367,Stock!$A$5:$E$21,5,FALSE))</f>
        <v/>
      </c>
      <c r="F367" s="4" t="str">
        <f t="shared" si="2"/>
        <v/>
      </c>
      <c r="G367" s="4" t="str">
        <f t="shared" si="3"/>
        <v/>
      </c>
      <c r="H367" s="4" t="str">
        <f>IF(B367="","",VLOOKUP(B367,Stock!$A$5:$B$21,2,FALSE))</f>
        <v/>
      </c>
    </row>
    <row r="368" spans="1:8" x14ac:dyDescent="0.25">
      <c r="A368" s="4"/>
      <c r="B368" s="4"/>
      <c r="C368" s="4"/>
      <c r="D368" s="4"/>
      <c r="E368" s="4" t="str">
        <f>IF(B368="","",VLOOKUP(B368,Stock!$A$5:$E$21,5,FALSE))</f>
        <v/>
      </c>
      <c r="F368" s="4" t="str">
        <f t="shared" si="2"/>
        <v/>
      </c>
      <c r="G368" s="4" t="str">
        <f t="shared" si="3"/>
        <v/>
      </c>
      <c r="H368" s="4" t="str">
        <f>IF(B368="","",VLOOKUP(B368,Stock!$A$5:$B$21,2,FALSE))</f>
        <v/>
      </c>
    </row>
    <row r="369" spans="1:8" x14ac:dyDescent="0.25">
      <c r="A369" s="4"/>
      <c r="B369" s="4"/>
      <c r="C369" s="4"/>
      <c r="D369" s="4"/>
      <c r="E369" s="4" t="str">
        <f>IF(B369="","",VLOOKUP(B369,Stock!$A$5:$E$21,5,FALSE))</f>
        <v/>
      </c>
      <c r="F369" s="4" t="str">
        <f t="shared" si="2"/>
        <v/>
      </c>
      <c r="G369" s="4" t="str">
        <f t="shared" si="3"/>
        <v/>
      </c>
      <c r="H369" s="4" t="str">
        <f>IF(B369="","",VLOOKUP(B369,Stock!$A$5:$B$21,2,FALSE))</f>
        <v/>
      </c>
    </row>
    <row r="370" spans="1:8" x14ac:dyDescent="0.25">
      <c r="A370" s="4"/>
      <c r="B370" s="4"/>
      <c r="C370" s="4"/>
      <c r="D370" s="4"/>
      <c r="E370" s="4" t="str">
        <f>IF(B370="","",VLOOKUP(B370,Stock!$A$5:$E$21,5,FALSE))</f>
        <v/>
      </c>
      <c r="F370" s="4" t="str">
        <f t="shared" si="2"/>
        <v/>
      </c>
      <c r="G370" s="4" t="str">
        <f t="shared" si="3"/>
        <v/>
      </c>
      <c r="H370" s="4" t="str">
        <f>IF(B370="","",VLOOKUP(B370,Stock!$A$5:$B$21,2,FALSE))</f>
        <v/>
      </c>
    </row>
    <row r="371" spans="1:8" x14ac:dyDescent="0.25">
      <c r="A371" s="4"/>
      <c r="B371" s="4"/>
      <c r="C371" s="4"/>
      <c r="D371" s="4"/>
      <c r="E371" s="4" t="str">
        <f>IF(B371="","",VLOOKUP(B371,Stock!$A$5:$E$21,5,FALSE))</f>
        <v/>
      </c>
      <c r="F371" s="4" t="str">
        <f t="shared" si="2"/>
        <v/>
      </c>
      <c r="G371" s="4" t="str">
        <f t="shared" si="3"/>
        <v/>
      </c>
      <c r="H371" s="4" t="str">
        <f>IF(B371="","",VLOOKUP(B371,Stock!$A$5:$B$21,2,FALSE))</f>
        <v/>
      </c>
    </row>
    <row r="372" spans="1:8" x14ac:dyDescent="0.25">
      <c r="A372" s="4"/>
      <c r="B372" s="4"/>
      <c r="C372" s="4"/>
      <c r="D372" s="4"/>
      <c r="E372" s="4" t="str">
        <f>IF(B372="","",VLOOKUP(B372,Stock!$A$5:$E$21,5,FALSE))</f>
        <v/>
      </c>
      <c r="F372" s="4" t="str">
        <f t="shared" si="2"/>
        <v/>
      </c>
      <c r="G372" s="4" t="str">
        <f t="shared" si="3"/>
        <v/>
      </c>
      <c r="H372" s="4" t="str">
        <f>IF(B372="","",VLOOKUP(B372,Stock!$A$5:$B$21,2,FALSE))</f>
        <v/>
      </c>
    </row>
    <row r="373" spans="1:8" x14ac:dyDescent="0.25">
      <c r="A373" s="4"/>
      <c r="B373" s="4"/>
      <c r="C373" s="4"/>
      <c r="D373" s="4"/>
      <c r="E373" s="4" t="str">
        <f>IF(B373="","",VLOOKUP(B373,Stock!$A$5:$E$21,5,FALSE))</f>
        <v/>
      </c>
      <c r="F373" s="4" t="str">
        <f t="shared" si="2"/>
        <v/>
      </c>
      <c r="G373" s="4" t="str">
        <f t="shared" si="3"/>
        <v/>
      </c>
      <c r="H373" s="4" t="str">
        <f>IF(B373="","",VLOOKUP(B373,Stock!$A$5:$B$21,2,FALSE))</f>
        <v/>
      </c>
    </row>
    <row r="374" spans="1:8" x14ac:dyDescent="0.25">
      <c r="A374" s="4"/>
      <c r="B374" s="4"/>
      <c r="C374" s="4"/>
      <c r="D374" s="4"/>
      <c r="E374" s="4" t="str">
        <f>IF(B374="","",VLOOKUP(B374,Stock!$A$5:$E$21,5,FALSE))</f>
        <v/>
      </c>
      <c r="F374" s="4" t="str">
        <f t="shared" si="2"/>
        <v/>
      </c>
      <c r="G374" s="4" t="str">
        <f t="shared" si="3"/>
        <v/>
      </c>
      <c r="H374" s="4" t="str">
        <f>IF(B374="","",VLOOKUP(B374,Stock!$A$5:$B$21,2,FALSE))</f>
        <v/>
      </c>
    </row>
    <row r="375" spans="1:8" x14ac:dyDescent="0.25">
      <c r="A375" s="4"/>
      <c r="B375" s="4"/>
      <c r="C375" s="4"/>
      <c r="D375" s="4"/>
      <c r="E375" s="4" t="str">
        <f>IF(B375="","",VLOOKUP(B375,Stock!$A$5:$E$21,5,FALSE))</f>
        <v/>
      </c>
      <c r="F375" s="4" t="str">
        <f t="shared" si="2"/>
        <v/>
      </c>
      <c r="G375" s="4" t="str">
        <f t="shared" si="3"/>
        <v/>
      </c>
      <c r="H375" s="4" t="str">
        <f>IF(B375="","",VLOOKUP(B375,Stock!$A$5:$B$21,2,FALSE))</f>
        <v/>
      </c>
    </row>
    <row r="376" spans="1:8" x14ac:dyDescent="0.25">
      <c r="A376" s="4"/>
      <c r="B376" s="4"/>
      <c r="C376" s="4"/>
      <c r="D376" s="4"/>
      <c r="E376" s="4" t="str">
        <f>IF(B376="","",VLOOKUP(B376,Stock!$A$5:$E$21,5,FALSE))</f>
        <v/>
      </c>
      <c r="F376" s="4" t="str">
        <f t="shared" si="2"/>
        <v/>
      </c>
      <c r="G376" s="4" t="str">
        <f t="shared" si="3"/>
        <v/>
      </c>
      <c r="H376" s="4" t="str">
        <f>IF(B376="","",VLOOKUP(B376,Stock!$A$5:$B$21,2,FALSE))</f>
        <v/>
      </c>
    </row>
    <row r="377" spans="1:8" x14ac:dyDescent="0.25">
      <c r="A377" s="4"/>
      <c r="B377" s="4"/>
      <c r="C377" s="4"/>
      <c r="D377" s="4"/>
      <c r="E377" s="4" t="str">
        <f>IF(B377="","",VLOOKUP(B377,Stock!$A$5:$E$21,5,FALSE))</f>
        <v/>
      </c>
      <c r="F377" s="4" t="str">
        <f t="shared" si="2"/>
        <v/>
      </c>
      <c r="G377" s="4" t="str">
        <f t="shared" si="3"/>
        <v/>
      </c>
      <c r="H377" s="4" t="str">
        <f>IF(B377="","",VLOOKUP(B377,Stock!$A$5:$B$21,2,FALSE))</f>
        <v/>
      </c>
    </row>
    <row r="378" spans="1:8" x14ac:dyDescent="0.25">
      <c r="A378" s="4"/>
      <c r="B378" s="4"/>
      <c r="C378" s="4"/>
      <c r="D378" s="4"/>
      <c r="E378" s="4" t="str">
        <f>IF(B378="","",VLOOKUP(B378,Stock!$A$5:$E$21,5,FALSE))</f>
        <v/>
      </c>
      <c r="F378" s="4" t="str">
        <f t="shared" si="2"/>
        <v/>
      </c>
      <c r="G378" s="4" t="str">
        <f t="shared" si="3"/>
        <v/>
      </c>
      <c r="H378" s="4" t="str">
        <f>IF(B378="","",VLOOKUP(B378,Stock!$A$5:$B$21,2,FALSE))</f>
        <v/>
      </c>
    </row>
    <row r="379" spans="1:8" x14ac:dyDescent="0.25">
      <c r="A379" s="4"/>
      <c r="B379" s="4"/>
      <c r="C379" s="4"/>
      <c r="D379" s="4"/>
      <c r="E379" s="4" t="str">
        <f>IF(B379="","",VLOOKUP(B379,Stock!$A$5:$E$21,5,FALSE))</f>
        <v/>
      </c>
      <c r="F379" s="4" t="str">
        <f t="shared" si="2"/>
        <v/>
      </c>
      <c r="G379" s="4" t="str">
        <f t="shared" si="3"/>
        <v/>
      </c>
      <c r="H379" s="4" t="str">
        <f>IF(B379="","",VLOOKUP(B379,Stock!$A$5:$B$21,2,FALSE))</f>
        <v/>
      </c>
    </row>
    <row r="380" spans="1:8" x14ac:dyDescent="0.25">
      <c r="A380" s="4"/>
      <c r="B380" s="4"/>
      <c r="C380" s="4"/>
      <c r="D380" s="4"/>
      <c r="E380" s="4" t="str">
        <f>IF(B380="","",VLOOKUP(B380,Stock!$A$5:$E$21,5,FALSE))</f>
        <v/>
      </c>
      <c r="F380" s="4" t="str">
        <f t="shared" si="2"/>
        <v/>
      </c>
      <c r="G380" s="4" t="str">
        <f t="shared" si="3"/>
        <v/>
      </c>
      <c r="H380" s="4" t="str">
        <f>IF(B380="","",VLOOKUP(B380,Stock!$A$5:$B$21,2,FALSE))</f>
        <v/>
      </c>
    </row>
    <row r="381" spans="1:8" x14ac:dyDescent="0.25">
      <c r="A381" s="4"/>
      <c r="B381" s="4"/>
      <c r="C381" s="4"/>
      <c r="D381" s="4"/>
      <c r="E381" s="4" t="str">
        <f>IF(B381="","",VLOOKUP(B381,Stock!$A$5:$E$21,5,FALSE))</f>
        <v/>
      </c>
      <c r="F381" s="4" t="str">
        <f t="shared" si="2"/>
        <v/>
      </c>
      <c r="G381" s="4" t="str">
        <f t="shared" si="3"/>
        <v/>
      </c>
      <c r="H381" s="4" t="str">
        <f>IF(B381="","",VLOOKUP(B381,Stock!$A$5:$B$21,2,FALSE))</f>
        <v/>
      </c>
    </row>
    <row r="382" spans="1:8" x14ac:dyDescent="0.25">
      <c r="A382" s="4"/>
      <c r="B382" s="4"/>
      <c r="C382" s="4"/>
      <c r="D382" s="4"/>
      <c r="E382" s="4" t="str">
        <f>IF(B382="","",VLOOKUP(B382,Stock!$A$5:$E$21,5,FALSE))</f>
        <v/>
      </c>
      <c r="F382" s="4" t="str">
        <f t="shared" si="2"/>
        <v/>
      </c>
      <c r="G382" s="4" t="str">
        <f t="shared" si="3"/>
        <v/>
      </c>
      <c r="H382" s="4" t="str">
        <f>IF(B382="","",VLOOKUP(B382,Stock!$A$5:$B$21,2,FALSE))</f>
        <v/>
      </c>
    </row>
    <row r="383" spans="1:8" x14ac:dyDescent="0.25">
      <c r="A383" s="4"/>
      <c r="B383" s="4"/>
      <c r="C383" s="4"/>
      <c r="D383" s="4"/>
      <c r="E383" s="4" t="str">
        <f>IF(B383="","",VLOOKUP(B383,Stock!$A$5:$E$21,5,FALSE))</f>
        <v/>
      </c>
      <c r="F383" s="4" t="str">
        <f t="shared" si="2"/>
        <v/>
      </c>
      <c r="G383" s="4" t="str">
        <f t="shared" si="3"/>
        <v/>
      </c>
      <c r="H383" s="4" t="str">
        <f>IF(B383="","",VLOOKUP(B383,Stock!$A$5:$B$21,2,FALSE))</f>
        <v/>
      </c>
    </row>
    <row r="384" spans="1:8" x14ac:dyDescent="0.25">
      <c r="A384" s="4"/>
      <c r="B384" s="4"/>
      <c r="C384" s="4"/>
      <c r="D384" s="4"/>
      <c r="E384" s="4" t="str">
        <f>IF(B384="","",VLOOKUP(B384,Stock!$A$5:$E$21,5,FALSE))</f>
        <v/>
      </c>
      <c r="F384" s="4" t="str">
        <f t="shared" si="2"/>
        <v/>
      </c>
      <c r="G384" s="4" t="str">
        <f t="shared" si="3"/>
        <v/>
      </c>
      <c r="H384" s="4" t="str">
        <f>IF(B384="","",VLOOKUP(B384,Stock!$A$5:$B$21,2,FALSE))</f>
        <v/>
      </c>
    </row>
    <row r="385" spans="1:8" x14ac:dyDescent="0.25">
      <c r="A385" s="4"/>
      <c r="B385" s="4"/>
      <c r="C385" s="4"/>
      <c r="D385" s="4"/>
      <c r="E385" s="4" t="str">
        <f>IF(B385="","",VLOOKUP(B385,Stock!$A$5:$E$21,5,FALSE))</f>
        <v/>
      </c>
      <c r="F385" s="4" t="str">
        <f t="shared" si="2"/>
        <v/>
      </c>
      <c r="G385" s="4" t="str">
        <f t="shared" si="3"/>
        <v/>
      </c>
      <c r="H385" s="4" t="str">
        <f>IF(B385="","",VLOOKUP(B385,Stock!$A$5:$B$21,2,FALSE))</f>
        <v/>
      </c>
    </row>
    <row r="386" spans="1:8" x14ac:dyDescent="0.25">
      <c r="A386" s="4"/>
      <c r="B386" s="4"/>
      <c r="C386" s="4"/>
      <c r="D386" s="4"/>
      <c r="E386" s="4" t="str">
        <f>IF(B386="","",VLOOKUP(B386,Stock!$A$5:$E$21,5,FALSE))</f>
        <v/>
      </c>
      <c r="F386" s="4" t="str">
        <f t="shared" si="2"/>
        <v/>
      </c>
      <c r="G386" s="4" t="str">
        <f t="shared" si="3"/>
        <v/>
      </c>
      <c r="H386" s="4" t="str">
        <f>IF(B386="","",VLOOKUP(B386,Stock!$A$5:$B$21,2,FALSE))</f>
        <v/>
      </c>
    </row>
    <row r="387" spans="1:8" x14ac:dyDescent="0.25">
      <c r="A387" s="4"/>
      <c r="B387" s="4"/>
      <c r="C387" s="4"/>
      <c r="D387" s="4"/>
      <c r="E387" s="4" t="str">
        <f>IF(B387="","",VLOOKUP(B387,Stock!$A$5:$E$21,5,FALSE))</f>
        <v/>
      </c>
      <c r="F387" s="4" t="str">
        <f t="shared" si="2"/>
        <v/>
      </c>
      <c r="G387" s="4" t="str">
        <f t="shared" si="3"/>
        <v/>
      </c>
      <c r="H387" s="4" t="str">
        <f>IF(B387="","",VLOOKUP(B387,Stock!$A$5:$B$21,2,FALSE))</f>
        <v/>
      </c>
    </row>
    <row r="388" spans="1:8" x14ac:dyDescent="0.25">
      <c r="A388" s="4"/>
      <c r="B388" s="4"/>
      <c r="C388" s="4"/>
      <c r="D388" s="4"/>
      <c r="E388" s="4" t="str">
        <f>IF(B388="","",VLOOKUP(B388,Stock!$A$5:$E$21,5,FALSE))</f>
        <v/>
      </c>
      <c r="F388" s="4" t="str">
        <f t="shared" si="2"/>
        <v/>
      </c>
      <c r="G388" s="4" t="str">
        <f t="shared" si="3"/>
        <v/>
      </c>
      <c r="H388" s="4" t="str">
        <f>IF(B388="","",VLOOKUP(B388,Stock!$A$5:$B$21,2,FALSE))</f>
        <v/>
      </c>
    </row>
    <row r="389" spans="1:8" x14ac:dyDescent="0.25">
      <c r="A389" s="4"/>
      <c r="B389" s="4"/>
      <c r="C389" s="4"/>
      <c r="D389" s="4"/>
      <c r="E389" s="4" t="str">
        <f>IF(B389="","",VLOOKUP(B389,Stock!$A$5:$E$21,5,FALSE))</f>
        <v/>
      </c>
      <c r="F389" s="4" t="str">
        <f t="shared" si="2"/>
        <v/>
      </c>
      <c r="G389" s="4" t="str">
        <f t="shared" si="3"/>
        <v/>
      </c>
      <c r="H389" s="4" t="str">
        <f>IF(B389="","",VLOOKUP(B389,Stock!$A$5:$B$21,2,FALSE))</f>
        <v/>
      </c>
    </row>
    <row r="390" spans="1:8" x14ac:dyDescent="0.25">
      <c r="A390" s="4"/>
      <c r="B390" s="4"/>
      <c r="C390" s="4"/>
      <c r="D390" s="4"/>
      <c r="E390" s="4" t="str">
        <f>IF(B390="","",VLOOKUP(B390,Stock!$A$5:$E$21,5,FALSE))</f>
        <v/>
      </c>
      <c r="F390" s="4" t="str">
        <f t="shared" si="2"/>
        <v/>
      </c>
      <c r="G390" s="4" t="str">
        <f t="shared" si="3"/>
        <v/>
      </c>
      <c r="H390" s="4" t="str">
        <f>IF(B390="","",VLOOKUP(B390,Stock!$A$5:$B$21,2,FALSE))</f>
        <v/>
      </c>
    </row>
    <row r="391" spans="1:8" x14ac:dyDescent="0.25">
      <c r="A391" s="4"/>
      <c r="B391" s="4"/>
      <c r="C391" s="4"/>
      <c r="D391" s="4"/>
      <c r="E391" s="4" t="str">
        <f>IF(B391="","",VLOOKUP(B391,Stock!$A$5:$E$21,5,FALSE))</f>
        <v/>
      </c>
      <c r="F391" s="4" t="str">
        <f t="shared" si="2"/>
        <v/>
      </c>
      <c r="G391" s="4" t="str">
        <f t="shared" si="3"/>
        <v/>
      </c>
      <c r="H391" s="4" t="str">
        <f>IF(B391="","",VLOOKUP(B391,Stock!$A$5:$B$21,2,FALSE))</f>
        <v/>
      </c>
    </row>
    <row r="392" spans="1:8" x14ac:dyDescent="0.25">
      <c r="A392" s="4"/>
      <c r="B392" s="4"/>
      <c r="C392" s="4"/>
      <c r="D392" s="4"/>
      <c r="E392" s="4" t="str">
        <f>IF(B392="","",VLOOKUP(B392,Stock!$A$5:$E$21,5,FALSE))</f>
        <v/>
      </c>
      <c r="F392" s="4" t="str">
        <f t="shared" si="2"/>
        <v/>
      </c>
      <c r="G392" s="4" t="str">
        <f t="shared" si="3"/>
        <v/>
      </c>
      <c r="H392" s="4" t="str">
        <f>IF(B392="","",VLOOKUP(B392,Stock!$A$5:$B$21,2,FALSE))</f>
        <v/>
      </c>
    </row>
    <row r="393" spans="1:8" x14ac:dyDescent="0.25">
      <c r="A393" s="4"/>
      <c r="B393" s="4"/>
      <c r="C393" s="4"/>
      <c r="D393" s="4"/>
      <c r="E393" s="4" t="str">
        <f>IF(B393="","",VLOOKUP(B393,Stock!$A$5:$E$21,5,FALSE))</f>
        <v/>
      </c>
      <c r="F393" s="4" t="str">
        <f t="shared" si="2"/>
        <v/>
      </c>
      <c r="G393" s="4" t="str">
        <f t="shared" si="3"/>
        <v/>
      </c>
      <c r="H393" s="4" t="str">
        <f>IF(B393="","",VLOOKUP(B393,Stock!$A$5:$B$21,2,FALSE))</f>
        <v/>
      </c>
    </row>
    <row r="394" spans="1:8" x14ac:dyDescent="0.25">
      <c r="A394" s="4"/>
      <c r="B394" s="4"/>
      <c r="C394" s="4"/>
      <c r="D394" s="4"/>
      <c r="E394" s="4" t="str">
        <f>IF(B394="","",VLOOKUP(B394,Stock!$A$5:$E$21,5,FALSE))</f>
        <v/>
      </c>
      <c r="F394" s="4" t="str">
        <f t="shared" ref="F394:F445" si="4">IF(OR(C394="",D394=""),"",C394*D394)</f>
        <v/>
      </c>
      <c r="G394" s="4" t="str">
        <f t="shared" ref="G394:G445" si="5">IF(OR(C394="",D394="",E394=""),"",(D394-E394)*C394)</f>
        <v/>
      </c>
      <c r="H394" s="4" t="str">
        <f>IF(B394="","",VLOOKUP(B394,Stock!$A$5:$B$21,2,FALSE))</f>
        <v/>
      </c>
    </row>
    <row r="395" spans="1:8" x14ac:dyDescent="0.25">
      <c r="A395" s="4"/>
      <c r="B395" s="4"/>
      <c r="C395" s="4"/>
      <c r="D395" s="4"/>
      <c r="E395" s="4" t="str">
        <f>IF(B395="","",VLOOKUP(B395,Stock!$A$5:$E$21,5,FALSE))</f>
        <v/>
      </c>
      <c r="F395" s="4" t="str">
        <f t="shared" si="4"/>
        <v/>
      </c>
      <c r="G395" s="4" t="str">
        <f t="shared" si="5"/>
        <v/>
      </c>
      <c r="H395" s="4" t="str">
        <f>IF(B395="","",VLOOKUP(B395,Stock!$A$5:$B$21,2,FALSE))</f>
        <v/>
      </c>
    </row>
    <row r="396" spans="1:8" x14ac:dyDescent="0.25">
      <c r="A396" s="4"/>
      <c r="B396" s="4"/>
      <c r="C396" s="4"/>
      <c r="D396" s="4"/>
      <c r="E396" s="4" t="str">
        <f>IF(B396="","",VLOOKUP(B396,Stock!$A$5:$E$21,5,FALSE))</f>
        <v/>
      </c>
      <c r="F396" s="4" t="str">
        <f t="shared" si="4"/>
        <v/>
      </c>
      <c r="G396" s="4" t="str">
        <f t="shared" si="5"/>
        <v/>
      </c>
      <c r="H396" s="4" t="str">
        <f>IF(B396="","",VLOOKUP(B396,Stock!$A$5:$B$21,2,FALSE))</f>
        <v/>
      </c>
    </row>
    <row r="397" spans="1:8" x14ac:dyDescent="0.25">
      <c r="A397" s="4"/>
      <c r="B397" s="4"/>
      <c r="C397" s="4"/>
      <c r="D397" s="4"/>
      <c r="E397" s="4" t="str">
        <f>IF(B397="","",VLOOKUP(B397,Stock!$A$5:$E$21,5,FALSE))</f>
        <v/>
      </c>
      <c r="F397" s="4" t="str">
        <f t="shared" si="4"/>
        <v/>
      </c>
      <c r="G397" s="4" t="str">
        <f t="shared" si="5"/>
        <v/>
      </c>
      <c r="H397" s="4" t="str">
        <f>IF(B397="","",VLOOKUP(B397,Stock!$A$5:$B$21,2,FALSE))</f>
        <v/>
      </c>
    </row>
    <row r="398" spans="1:8" x14ac:dyDescent="0.25">
      <c r="A398" s="4"/>
      <c r="B398" s="4"/>
      <c r="C398" s="4"/>
      <c r="D398" s="4"/>
      <c r="E398" s="4" t="str">
        <f>IF(B398="","",VLOOKUP(B398,Stock!$A$5:$E$21,5,FALSE))</f>
        <v/>
      </c>
      <c r="F398" s="4" t="str">
        <f t="shared" si="4"/>
        <v/>
      </c>
      <c r="G398" s="4" t="str">
        <f t="shared" si="5"/>
        <v/>
      </c>
      <c r="H398" s="4" t="str">
        <f>IF(B398="","",VLOOKUP(B398,Stock!$A$5:$B$21,2,FALSE))</f>
        <v/>
      </c>
    </row>
    <row r="399" spans="1:8" x14ac:dyDescent="0.25">
      <c r="A399" s="4"/>
      <c r="B399" s="4"/>
      <c r="C399" s="4"/>
      <c r="D399" s="4"/>
      <c r="E399" s="4" t="str">
        <f>IF(B399="","",VLOOKUP(B399,Stock!$A$5:$E$21,5,FALSE))</f>
        <v/>
      </c>
      <c r="F399" s="4" t="str">
        <f t="shared" si="4"/>
        <v/>
      </c>
      <c r="G399" s="4" t="str">
        <f t="shared" si="5"/>
        <v/>
      </c>
      <c r="H399" s="4" t="str">
        <f>IF(B399="","",VLOOKUP(B399,Stock!$A$5:$B$21,2,FALSE))</f>
        <v/>
      </c>
    </row>
    <row r="400" spans="1:8" x14ac:dyDescent="0.25">
      <c r="A400" s="4"/>
      <c r="B400" s="4"/>
      <c r="C400" s="4"/>
      <c r="D400" s="4"/>
      <c r="E400" s="4" t="str">
        <f>IF(B400="","",VLOOKUP(B400,Stock!$A$5:$E$21,5,FALSE))</f>
        <v/>
      </c>
      <c r="F400" s="4" t="str">
        <f t="shared" si="4"/>
        <v/>
      </c>
      <c r="G400" s="4" t="str">
        <f t="shared" si="5"/>
        <v/>
      </c>
      <c r="H400" s="4" t="str">
        <f>IF(B400="","",VLOOKUP(B400,Stock!$A$5:$B$21,2,FALSE))</f>
        <v/>
      </c>
    </row>
    <row r="401" spans="1:8" x14ac:dyDescent="0.25">
      <c r="A401" s="4"/>
      <c r="B401" s="4"/>
      <c r="C401" s="4"/>
      <c r="D401" s="4"/>
      <c r="E401" s="4" t="str">
        <f>IF(B401="","",VLOOKUP(B401,Stock!$A$5:$E$21,5,FALSE))</f>
        <v/>
      </c>
      <c r="F401" s="4" t="str">
        <f t="shared" si="4"/>
        <v/>
      </c>
      <c r="G401" s="4" t="str">
        <f t="shared" si="5"/>
        <v/>
      </c>
      <c r="H401" s="4" t="str">
        <f>IF(B401="","",VLOOKUP(B401,Stock!$A$5:$B$21,2,FALSE))</f>
        <v/>
      </c>
    </row>
    <row r="402" spans="1:8" x14ac:dyDescent="0.25">
      <c r="A402" s="4"/>
      <c r="B402" s="4"/>
      <c r="C402" s="4"/>
      <c r="D402" s="4"/>
      <c r="E402" s="4" t="str">
        <f>IF(B402="","",VLOOKUP(B402,Stock!$A$5:$E$21,5,FALSE))</f>
        <v/>
      </c>
      <c r="F402" s="4" t="str">
        <f t="shared" si="4"/>
        <v/>
      </c>
      <c r="G402" s="4" t="str">
        <f t="shared" si="5"/>
        <v/>
      </c>
      <c r="H402" s="4" t="str">
        <f>IF(B402="","",VLOOKUP(B402,Stock!$A$5:$B$21,2,FALSE))</f>
        <v/>
      </c>
    </row>
    <row r="403" spans="1:8" x14ac:dyDescent="0.25">
      <c r="A403" s="4"/>
      <c r="B403" s="4"/>
      <c r="C403" s="4"/>
      <c r="D403" s="4"/>
      <c r="E403" s="4" t="str">
        <f>IF(B403="","",VLOOKUP(B403,Stock!$A$5:$E$21,5,FALSE))</f>
        <v/>
      </c>
      <c r="F403" s="4" t="str">
        <f t="shared" si="4"/>
        <v/>
      </c>
      <c r="G403" s="4" t="str">
        <f t="shared" si="5"/>
        <v/>
      </c>
      <c r="H403" s="4" t="str">
        <f>IF(B403="","",VLOOKUP(B403,Stock!$A$5:$B$21,2,FALSE))</f>
        <v/>
      </c>
    </row>
    <row r="404" spans="1:8" x14ac:dyDescent="0.25">
      <c r="A404" s="4"/>
      <c r="B404" s="4"/>
      <c r="C404" s="4"/>
      <c r="D404" s="4"/>
      <c r="E404" s="4" t="str">
        <f>IF(B404="","",VLOOKUP(B404,Stock!$A$5:$E$21,5,FALSE))</f>
        <v/>
      </c>
      <c r="F404" s="4" t="str">
        <f t="shared" si="4"/>
        <v/>
      </c>
      <c r="G404" s="4" t="str">
        <f t="shared" si="5"/>
        <v/>
      </c>
      <c r="H404" s="4" t="str">
        <f>IF(B404="","",VLOOKUP(B404,Stock!$A$5:$B$21,2,FALSE))</f>
        <v/>
      </c>
    </row>
    <row r="405" spans="1:8" x14ac:dyDescent="0.25">
      <c r="A405" s="4"/>
      <c r="B405" s="4"/>
      <c r="C405" s="4"/>
      <c r="D405" s="4"/>
      <c r="E405" s="4" t="str">
        <f>IF(B405="","",VLOOKUP(B405,Stock!$A$5:$E$21,5,FALSE))</f>
        <v/>
      </c>
      <c r="F405" s="4" t="str">
        <f t="shared" si="4"/>
        <v/>
      </c>
      <c r="G405" s="4" t="str">
        <f t="shared" si="5"/>
        <v/>
      </c>
      <c r="H405" s="4" t="str">
        <f>IF(B405="","",VLOOKUP(B405,Stock!$A$5:$B$21,2,FALSE))</f>
        <v/>
      </c>
    </row>
    <row r="406" spans="1:8" x14ac:dyDescent="0.25">
      <c r="A406" s="4"/>
      <c r="B406" s="4"/>
      <c r="C406" s="4"/>
      <c r="D406" s="4"/>
      <c r="E406" s="4" t="str">
        <f>IF(B406="","",VLOOKUP(B406,Stock!$A$5:$E$21,5,FALSE))</f>
        <v/>
      </c>
      <c r="F406" s="4" t="str">
        <f t="shared" si="4"/>
        <v/>
      </c>
      <c r="G406" s="4" t="str">
        <f t="shared" si="5"/>
        <v/>
      </c>
      <c r="H406" s="4" t="str">
        <f>IF(B406="","",VLOOKUP(B406,Stock!$A$5:$B$21,2,FALSE))</f>
        <v/>
      </c>
    </row>
    <row r="407" spans="1:8" x14ac:dyDescent="0.25">
      <c r="A407" s="4"/>
      <c r="B407" s="4"/>
      <c r="C407" s="4"/>
      <c r="D407" s="4"/>
      <c r="E407" s="4" t="str">
        <f>IF(B407="","",VLOOKUP(B407,Stock!$A$5:$E$21,5,FALSE))</f>
        <v/>
      </c>
      <c r="F407" s="4" t="str">
        <f t="shared" si="4"/>
        <v/>
      </c>
      <c r="G407" s="4" t="str">
        <f t="shared" si="5"/>
        <v/>
      </c>
      <c r="H407" s="4" t="str">
        <f>IF(B407="","",VLOOKUP(B407,Stock!$A$5:$B$21,2,FALSE))</f>
        <v/>
      </c>
    </row>
    <row r="408" spans="1:8" x14ac:dyDescent="0.25">
      <c r="A408" s="4"/>
      <c r="B408" s="4"/>
      <c r="C408" s="4"/>
      <c r="D408" s="4"/>
      <c r="E408" s="4" t="str">
        <f>IF(B408="","",VLOOKUP(B408,Stock!$A$5:$E$21,5,FALSE))</f>
        <v/>
      </c>
      <c r="F408" s="4" t="str">
        <f t="shared" si="4"/>
        <v/>
      </c>
      <c r="G408" s="4" t="str">
        <f t="shared" si="5"/>
        <v/>
      </c>
      <c r="H408" s="4" t="str">
        <f>IF(B408="","",VLOOKUP(B408,Stock!$A$5:$B$21,2,FALSE))</f>
        <v/>
      </c>
    </row>
    <row r="409" spans="1:8" x14ac:dyDescent="0.25">
      <c r="A409" s="4"/>
      <c r="B409" s="4"/>
      <c r="C409" s="4"/>
      <c r="D409" s="4"/>
      <c r="E409" s="4" t="str">
        <f>IF(B409="","",VLOOKUP(B409,Stock!$A$5:$E$21,5,FALSE))</f>
        <v/>
      </c>
      <c r="F409" s="4" t="str">
        <f t="shared" si="4"/>
        <v/>
      </c>
      <c r="G409" s="4" t="str">
        <f t="shared" si="5"/>
        <v/>
      </c>
      <c r="H409" s="4" t="str">
        <f>IF(B409="","",VLOOKUP(B409,Stock!$A$5:$B$21,2,FALSE))</f>
        <v/>
      </c>
    </row>
    <row r="410" spans="1:8" x14ac:dyDescent="0.25">
      <c r="A410" s="4"/>
      <c r="B410" s="4"/>
      <c r="C410" s="4"/>
      <c r="D410" s="4"/>
      <c r="E410" s="4" t="str">
        <f>IF(B410="","",VLOOKUP(B410,Stock!$A$5:$E$21,5,FALSE))</f>
        <v/>
      </c>
      <c r="F410" s="4" t="str">
        <f t="shared" si="4"/>
        <v/>
      </c>
      <c r="G410" s="4" t="str">
        <f t="shared" si="5"/>
        <v/>
      </c>
      <c r="H410" s="4" t="str">
        <f>IF(B410="","",VLOOKUP(B410,Stock!$A$5:$B$21,2,FALSE))</f>
        <v/>
      </c>
    </row>
    <row r="411" spans="1:8" x14ac:dyDescent="0.25">
      <c r="A411" s="4"/>
      <c r="B411" s="4"/>
      <c r="C411" s="4"/>
      <c r="D411" s="4"/>
      <c r="E411" s="4" t="str">
        <f>IF(B411="","",VLOOKUP(B411,Stock!$A$5:$E$21,5,FALSE))</f>
        <v/>
      </c>
      <c r="F411" s="4" t="str">
        <f t="shared" si="4"/>
        <v/>
      </c>
      <c r="G411" s="4" t="str">
        <f t="shared" si="5"/>
        <v/>
      </c>
      <c r="H411" s="4" t="str">
        <f>IF(B411="","",VLOOKUP(B411,Stock!$A$5:$B$21,2,FALSE))</f>
        <v/>
      </c>
    </row>
    <row r="412" spans="1:8" x14ac:dyDescent="0.25">
      <c r="A412" s="4"/>
      <c r="B412" s="4"/>
      <c r="C412" s="4"/>
      <c r="D412" s="4"/>
      <c r="E412" s="4" t="str">
        <f>IF(B412="","",VLOOKUP(B412,Stock!$A$5:$E$21,5,FALSE))</f>
        <v/>
      </c>
      <c r="F412" s="4" t="str">
        <f t="shared" si="4"/>
        <v/>
      </c>
      <c r="G412" s="4" t="str">
        <f t="shared" si="5"/>
        <v/>
      </c>
      <c r="H412" s="4" t="str">
        <f>IF(B412="","",VLOOKUP(B412,Stock!$A$5:$B$21,2,FALSE))</f>
        <v/>
      </c>
    </row>
    <row r="413" spans="1:8" x14ac:dyDescent="0.25">
      <c r="A413" s="4"/>
      <c r="B413" s="4"/>
      <c r="C413" s="4"/>
      <c r="D413" s="4"/>
      <c r="E413" s="4" t="str">
        <f>IF(B413="","",VLOOKUP(B413,Stock!$A$5:$E$21,5,FALSE))</f>
        <v/>
      </c>
      <c r="F413" s="4" t="str">
        <f t="shared" si="4"/>
        <v/>
      </c>
      <c r="G413" s="4" t="str">
        <f t="shared" si="5"/>
        <v/>
      </c>
      <c r="H413" s="4" t="str">
        <f>IF(B413="","",VLOOKUP(B413,Stock!$A$5:$B$21,2,FALSE))</f>
        <v/>
      </c>
    </row>
    <row r="414" spans="1:8" x14ac:dyDescent="0.25">
      <c r="A414" s="4"/>
      <c r="B414" s="4"/>
      <c r="C414" s="4"/>
      <c r="D414" s="4"/>
      <c r="E414" s="4" t="str">
        <f>IF(B414="","",VLOOKUP(B414,Stock!$A$5:$E$21,5,FALSE))</f>
        <v/>
      </c>
      <c r="F414" s="4" t="str">
        <f t="shared" si="4"/>
        <v/>
      </c>
      <c r="G414" s="4" t="str">
        <f t="shared" si="5"/>
        <v/>
      </c>
      <c r="H414" s="4" t="str">
        <f>IF(B414="","",VLOOKUP(B414,Stock!$A$5:$B$21,2,FALSE))</f>
        <v/>
      </c>
    </row>
    <row r="415" spans="1:8" x14ac:dyDescent="0.25">
      <c r="A415" s="4"/>
      <c r="B415" s="4"/>
      <c r="C415" s="4"/>
      <c r="D415" s="4"/>
      <c r="E415" s="4" t="str">
        <f>IF(B415="","",VLOOKUP(B415,Stock!$A$5:$E$21,5,FALSE))</f>
        <v/>
      </c>
      <c r="F415" s="4" t="str">
        <f t="shared" si="4"/>
        <v/>
      </c>
      <c r="G415" s="4" t="str">
        <f t="shared" si="5"/>
        <v/>
      </c>
      <c r="H415" s="4" t="str">
        <f>IF(B415="","",VLOOKUP(B415,Stock!$A$5:$B$21,2,FALSE))</f>
        <v/>
      </c>
    </row>
    <row r="416" spans="1:8" x14ac:dyDescent="0.25">
      <c r="A416" s="4"/>
      <c r="B416" s="4"/>
      <c r="C416" s="4"/>
      <c r="D416" s="4"/>
      <c r="E416" s="4" t="str">
        <f>IF(B416="","",VLOOKUP(B416,Stock!$A$5:$E$21,5,FALSE))</f>
        <v/>
      </c>
      <c r="F416" s="4" t="str">
        <f t="shared" si="4"/>
        <v/>
      </c>
      <c r="G416" s="4" t="str">
        <f t="shared" si="5"/>
        <v/>
      </c>
      <c r="H416" s="4" t="str">
        <f>IF(B416="","",VLOOKUP(B416,Stock!$A$5:$B$21,2,FALSE))</f>
        <v/>
      </c>
    </row>
    <row r="417" spans="1:8" x14ac:dyDescent="0.25">
      <c r="A417" s="4"/>
      <c r="B417" s="4"/>
      <c r="C417" s="4"/>
      <c r="D417" s="4"/>
      <c r="E417" s="4" t="str">
        <f>IF(B417="","",VLOOKUP(B417,Stock!$A$5:$E$21,5,FALSE))</f>
        <v/>
      </c>
      <c r="F417" s="4" t="str">
        <f t="shared" si="4"/>
        <v/>
      </c>
      <c r="G417" s="4" t="str">
        <f t="shared" si="5"/>
        <v/>
      </c>
      <c r="H417" s="4" t="str">
        <f>IF(B417="","",VLOOKUP(B417,Stock!$A$5:$B$21,2,FALSE))</f>
        <v/>
      </c>
    </row>
    <row r="418" spans="1:8" x14ac:dyDescent="0.25">
      <c r="A418" s="4"/>
      <c r="B418" s="4"/>
      <c r="C418" s="4"/>
      <c r="D418" s="4"/>
      <c r="E418" s="4" t="str">
        <f>IF(B418="","",VLOOKUP(B418,Stock!$A$5:$E$21,5,FALSE))</f>
        <v/>
      </c>
      <c r="F418" s="4" t="str">
        <f t="shared" si="4"/>
        <v/>
      </c>
      <c r="G418" s="4" t="str">
        <f t="shared" si="5"/>
        <v/>
      </c>
      <c r="H418" s="4" t="str">
        <f>IF(B418="","",VLOOKUP(B418,Stock!$A$5:$B$21,2,FALSE))</f>
        <v/>
      </c>
    </row>
    <row r="419" spans="1:8" x14ac:dyDescent="0.25">
      <c r="A419" s="4"/>
      <c r="B419" s="4"/>
      <c r="C419" s="4"/>
      <c r="D419" s="4"/>
      <c r="E419" s="4" t="str">
        <f>IF(B419="","",VLOOKUP(B419,Stock!$A$5:$E$21,5,FALSE))</f>
        <v/>
      </c>
      <c r="F419" s="4" t="str">
        <f t="shared" si="4"/>
        <v/>
      </c>
      <c r="G419" s="4" t="str">
        <f t="shared" si="5"/>
        <v/>
      </c>
      <c r="H419" s="4" t="str">
        <f>IF(B419="","",VLOOKUP(B419,Stock!$A$5:$B$21,2,FALSE))</f>
        <v/>
      </c>
    </row>
    <row r="420" spans="1:8" x14ac:dyDescent="0.25">
      <c r="A420" s="4"/>
      <c r="B420" s="4"/>
      <c r="C420" s="4"/>
      <c r="D420" s="4"/>
      <c r="E420" s="4" t="str">
        <f>IF(B420="","",VLOOKUP(B420,Stock!$A$5:$E$21,5,FALSE))</f>
        <v/>
      </c>
      <c r="F420" s="4" t="str">
        <f t="shared" si="4"/>
        <v/>
      </c>
      <c r="G420" s="4" t="str">
        <f t="shared" si="5"/>
        <v/>
      </c>
      <c r="H420" s="4" t="str">
        <f>IF(B420="","",VLOOKUP(B420,Stock!$A$5:$B$21,2,FALSE))</f>
        <v/>
      </c>
    </row>
    <row r="421" spans="1:8" x14ac:dyDescent="0.25">
      <c r="A421" s="4"/>
      <c r="B421" s="4"/>
      <c r="C421" s="4"/>
      <c r="D421" s="4"/>
      <c r="E421" s="4" t="str">
        <f>IF(B421="","",VLOOKUP(B421,Stock!$A$5:$E$21,5,FALSE))</f>
        <v/>
      </c>
      <c r="F421" s="4" t="str">
        <f t="shared" si="4"/>
        <v/>
      </c>
      <c r="G421" s="4" t="str">
        <f t="shared" si="5"/>
        <v/>
      </c>
      <c r="H421" s="4" t="str">
        <f>IF(B421="","",VLOOKUP(B421,Stock!$A$5:$B$21,2,FALSE))</f>
        <v/>
      </c>
    </row>
    <row r="422" spans="1:8" x14ac:dyDescent="0.25">
      <c r="A422" s="4"/>
      <c r="B422" s="4"/>
      <c r="C422" s="4"/>
      <c r="D422" s="4"/>
      <c r="E422" s="4" t="str">
        <f>IF(B422="","",VLOOKUP(B422,Stock!$A$5:$E$21,5,FALSE))</f>
        <v/>
      </c>
      <c r="F422" s="4" t="str">
        <f t="shared" si="4"/>
        <v/>
      </c>
      <c r="G422" s="4" t="str">
        <f t="shared" si="5"/>
        <v/>
      </c>
      <c r="H422" s="4" t="str">
        <f>IF(B422="","",VLOOKUP(B422,Stock!$A$5:$B$21,2,FALSE))</f>
        <v/>
      </c>
    </row>
    <row r="423" spans="1:8" x14ac:dyDescent="0.25">
      <c r="A423" s="4"/>
      <c r="B423" s="4"/>
      <c r="C423" s="4"/>
      <c r="D423" s="4"/>
      <c r="E423" s="4" t="str">
        <f>IF(B423="","",VLOOKUP(B423,Stock!$A$5:$E$21,5,FALSE))</f>
        <v/>
      </c>
      <c r="F423" s="4" t="str">
        <f t="shared" si="4"/>
        <v/>
      </c>
      <c r="G423" s="4" t="str">
        <f t="shared" si="5"/>
        <v/>
      </c>
      <c r="H423" s="4" t="str">
        <f>IF(B423="","",VLOOKUP(B423,Stock!$A$5:$B$21,2,FALSE))</f>
        <v/>
      </c>
    </row>
    <row r="424" spans="1:8" x14ac:dyDescent="0.25">
      <c r="A424" s="4"/>
      <c r="B424" s="4"/>
      <c r="C424" s="4"/>
      <c r="D424" s="4"/>
      <c r="E424" s="4" t="str">
        <f>IF(B424="","",VLOOKUP(B424,Stock!$A$5:$E$21,5,FALSE))</f>
        <v/>
      </c>
      <c r="F424" s="4" t="str">
        <f t="shared" si="4"/>
        <v/>
      </c>
      <c r="G424" s="4" t="str">
        <f t="shared" si="5"/>
        <v/>
      </c>
      <c r="H424" s="4" t="str">
        <f>IF(B424="","",VLOOKUP(B424,Stock!$A$5:$B$21,2,FALSE))</f>
        <v/>
      </c>
    </row>
    <row r="425" spans="1:8" x14ac:dyDescent="0.25">
      <c r="A425" s="4"/>
      <c r="B425" s="4"/>
      <c r="C425" s="4"/>
      <c r="D425" s="4"/>
      <c r="E425" s="4" t="str">
        <f>IF(B425="","",VLOOKUP(B425,Stock!$A$5:$E$21,5,FALSE))</f>
        <v/>
      </c>
      <c r="F425" s="4" t="str">
        <f t="shared" si="4"/>
        <v/>
      </c>
      <c r="G425" s="4" t="str">
        <f t="shared" si="5"/>
        <v/>
      </c>
      <c r="H425" s="4" t="str">
        <f>IF(B425="","",VLOOKUP(B425,Stock!$A$5:$B$21,2,FALSE))</f>
        <v/>
      </c>
    </row>
    <row r="426" spans="1:8" x14ac:dyDescent="0.25">
      <c r="A426" s="4"/>
      <c r="B426" s="4"/>
      <c r="C426" s="4"/>
      <c r="D426" s="4"/>
      <c r="E426" s="4" t="str">
        <f>IF(B426="","",VLOOKUP(B426,Stock!$A$5:$E$21,5,FALSE))</f>
        <v/>
      </c>
      <c r="F426" s="4" t="str">
        <f t="shared" si="4"/>
        <v/>
      </c>
      <c r="G426" s="4" t="str">
        <f t="shared" si="5"/>
        <v/>
      </c>
      <c r="H426" s="4" t="str">
        <f>IF(B426="","",VLOOKUP(B426,Stock!$A$5:$B$21,2,FALSE))</f>
        <v/>
      </c>
    </row>
    <row r="427" spans="1:8" x14ac:dyDescent="0.25">
      <c r="A427" s="4"/>
      <c r="B427" s="4"/>
      <c r="C427" s="4"/>
      <c r="D427" s="4"/>
      <c r="E427" s="4" t="str">
        <f>IF(B427="","",VLOOKUP(B427,Stock!$A$5:$E$21,5,FALSE))</f>
        <v/>
      </c>
      <c r="F427" s="4" t="str">
        <f t="shared" si="4"/>
        <v/>
      </c>
      <c r="G427" s="4" t="str">
        <f t="shared" si="5"/>
        <v/>
      </c>
      <c r="H427" s="4" t="str">
        <f>IF(B427="","",VLOOKUP(B427,Stock!$A$5:$B$21,2,FALSE))</f>
        <v/>
      </c>
    </row>
    <row r="428" spans="1:8" x14ac:dyDescent="0.25">
      <c r="A428" s="4"/>
      <c r="B428" s="4"/>
      <c r="C428" s="4"/>
      <c r="D428" s="4"/>
      <c r="E428" s="4" t="str">
        <f>IF(B428="","",VLOOKUP(B428,Stock!$A$5:$E$21,5,FALSE))</f>
        <v/>
      </c>
      <c r="F428" s="4" t="str">
        <f t="shared" si="4"/>
        <v/>
      </c>
      <c r="G428" s="4" t="str">
        <f t="shared" si="5"/>
        <v/>
      </c>
      <c r="H428" s="4" t="str">
        <f>IF(B428="","",VLOOKUP(B428,Stock!$A$5:$B$21,2,FALSE))</f>
        <v/>
      </c>
    </row>
    <row r="429" spans="1:8" x14ac:dyDescent="0.25">
      <c r="A429" s="4"/>
      <c r="B429" s="4"/>
      <c r="C429" s="4"/>
      <c r="D429" s="4"/>
      <c r="E429" s="4" t="str">
        <f>IF(B429="","",VLOOKUP(B429,Stock!$A$5:$E$21,5,FALSE))</f>
        <v/>
      </c>
      <c r="F429" s="4" t="str">
        <f t="shared" si="4"/>
        <v/>
      </c>
      <c r="G429" s="4" t="str">
        <f t="shared" si="5"/>
        <v/>
      </c>
      <c r="H429" s="4" t="str">
        <f>IF(B429="","",VLOOKUP(B429,Stock!$A$5:$B$21,2,FALSE))</f>
        <v/>
      </c>
    </row>
    <row r="430" spans="1:8" x14ac:dyDescent="0.25">
      <c r="A430" s="4"/>
      <c r="B430" s="4"/>
      <c r="C430" s="4"/>
      <c r="D430" s="4"/>
      <c r="E430" s="4" t="str">
        <f>IF(B430="","",VLOOKUP(B430,Stock!$A$5:$E$21,5,FALSE))</f>
        <v/>
      </c>
      <c r="F430" s="4" t="str">
        <f t="shared" si="4"/>
        <v/>
      </c>
      <c r="G430" s="4" t="str">
        <f t="shared" si="5"/>
        <v/>
      </c>
      <c r="H430" s="4" t="str">
        <f>IF(B430="","",VLOOKUP(B430,Stock!$A$5:$B$21,2,FALSE))</f>
        <v/>
      </c>
    </row>
    <row r="431" spans="1:8" x14ac:dyDescent="0.25">
      <c r="A431" s="4"/>
      <c r="B431" s="4"/>
      <c r="C431" s="4"/>
      <c r="D431" s="4"/>
      <c r="E431" s="4" t="str">
        <f>IF(B431="","",VLOOKUP(B431,Stock!$A$5:$E$21,5,FALSE))</f>
        <v/>
      </c>
      <c r="F431" s="4" t="str">
        <f t="shared" si="4"/>
        <v/>
      </c>
      <c r="G431" s="4" t="str">
        <f t="shared" si="5"/>
        <v/>
      </c>
      <c r="H431" s="4" t="str">
        <f>IF(B431="","",VLOOKUP(B431,Stock!$A$5:$B$21,2,FALSE))</f>
        <v/>
      </c>
    </row>
    <row r="432" spans="1:8" x14ac:dyDescent="0.25">
      <c r="A432" s="4"/>
      <c r="B432" s="4"/>
      <c r="C432" s="4"/>
      <c r="D432" s="4"/>
      <c r="E432" s="4" t="str">
        <f>IF(B432="","",VLOOKUP(B432,Stock!$A$5:$E$21,5,FALSE))</f>
        <v/>
      </c>
      <c r="F432" s="4" t="str">
        <f t="shared" si="4"/>
        <v/>
      </c>
      <c r="G432" s="4" t="str">
        <f t="shared" si="5"/>
        <v/>
      </c>
      <c r="H432" s="4" t="str">
        <f>IF(B432="","",VLOOKUP(B432,Stock!$A$5:$B$21,2,FALSE))</f>
        <v/>
      </c>
    </row>
    <row r="433" spans="1:8" x14ac:dyDescent="0.25">
      <c r="A433" s="4"/>
      <c r="B433" s="4"/>
      <c r="C433" s="4"/>
      <c r="D433" s="4"/>
      <c r="E433" s="4" t="str">
        <f>IF(B433="","",VLOOKUP(B433,Stock!$A$5:$E$21,5,FALSE))</f>
        <v/>
      </c>
      <c r="F433" s="4" t="str">
        <f t="shared" si="4"/>
        <v/>
      </c>
      <c r="G433" s="4" t="str">
        <f t="shared" si="5"/>
        <v/>
      </c>
      <c r="H433" s="4" t="str">
        <f>IF(B433="","",VLOOKUP(B433,Stock!$A$5:$B$21,2,FALSE))</f>
        <v/>
      </c>
    </row>
    <row r="434" spans="1:8" x14ac:dyDescent="0.25">
      <c r="A434" s="4"/>
      <c r="B434" s="4"/>
      <c r="C434" s="4"/>
      <c r="D434" s="4"/>
      <c r="E434" s="4" t="str">
        <f>IF(B434="","",VLOOKUP(B434,Stock!$A$5:$E$21,5,FALSE))</f>
        <v/>
      </c>
      <c r="F434" s="4" t="str">
        <f t="shared" si="4"/>
        <v/>
      </c>
      <c r="G434" s="4" t="str">
        <f t="shared" si="5"/>
        <v/>
      </c>
      <c r="H434" s="4" t="str">
        <f>IF(B434="","",VLOOKUP(B434,Stock!$A$5:$B$21,2,FALSE))</f>
        <v/>
      </c>
    </row>
    <row r="435" spans="1:8" x14ac:dyDescent="0.25">
      <c r="A435" s="4"/>
      <c r="B435" s="4"/>
      <c r="C435" s="4"/>
      <c r="D435" s="4"/>
      <c r="E435" s="4" t="str">
        <f>IF(B435="","",VLOOKUP(B435,Stock!$A$5:$E$21,5,FALSE))</f>
        <v/>
      </c>
      <c r="F435" s="4" t="str">
        <f t="shared" si="4"/>
        <v/>
      </c>
      <c r="G435" s="4" t="str">
        <f t="shared" si="5"/>
        <v/>
      </c>
      <c r="H435" s="4" t="str">
        <f>IF(B435="","",VLOOKUP(B435,Stock!$A$5:$B$21,2,FALSE))</f>
        <v/>
      </c>
    </row>
    <row r="436" spans="1:8" x14ac:dyDescent="0.25">
      <c r="A436" s="4"/>
      <c r="B436" s="4"/>
      <c r="C436" s="4"/>
      <c r="D436" s="4"/>
      <c r="E436" s="4" t="str">
        <f>IF(B436="","",VLOOKUP(B436,Stock!$A$5:$E$21,5,FALSE))</f>
        <v/>
      </c>
      <c r="F436" s="4" t="str">
        <f t="shared" si="4"/>
        <v/>
      </c>
      <c r="G436" s="4" t="str">
        <f t="shared" si="5"/>
        <v/>
      </c>
      <c r="H436" s="4" t="str">
        <f>IF(B436="","",VLOOKUP(B436,Stock!$A$5:$B$21,2,FALSE))</f>
        <v/>
      </c>
    </row>
    <row r="437" spans="1:8" x14ac:dyDescent="0.25">
      <c r="A437" s="4"/>
      <c r="B437" s="4"/>
      <c r="C437" s="4"/>
      <c r="D437" s="4"/>
      <c r="E437" s="4" t="str">
        <f>IF(B437="","",VLOOKUP(B437,Stock!$A$5:$E$21,5,FALSE))</f>
        <v/>
      </c>
      <c r="F437" s="4" t="str">
        <f t="shared" si="4"/>
        <v/>
      </c>
      <c r="G437" s="4" t="str">
        <f t="shared" si="5"/>
        <v/>
      </c>
      <c r="H437" s="4" t="str">
        <f>IF(B437="","",VLOOKUP(B437,Stock!$A$5:$B$21,2,FALSE))</f>
        <v/>
      </c>
    </row>
    <row r="438" spans="1:8" x14ac:dyDescent="0.25">
      <c r="A438" s="4"/>
      <c r="B438" s="4"/>
      <c r="C438" s="4"/>
      <c r="D438" s="4"/>
      <c r="E438" s="4" t="str">
        <f>IF(B438="","",VLOOKUP(B438,Stock!$A$5:$E$21,5,FALSE))</f>
        <v/>
      </c>
      <c r="F438" s="4" t="str">
        <f t="shared" si="4"/>
        <v/>
      </c>
      <c r="G438" s="4" t="str">
        <f t="shared" si="5"/>
        <v/>
      </c>
      <c r="H438" s="4" t="str">
        <f>IF(B438="","",VLOOKUP(B438,Stock!$A$5:$B$21,2,FALSE))</f>
        <v/>
      </c>
    </row>
    <row r="439" spans="1:8" x14ac:dyDescent="0.25">
      <c r="A439" s="4"/>
      <c r="B439" s="4"/>
      <c r="C439" s="4"/>
      <c r="D439" s="4"/>
      <c r="E439" s="4" t="str">
        <f>IF(B439="","",VLOOKUP(B439,Stock!$A$5:$E$21,5,FALSE))</f>
        <v/>
      </c>
      <c r="F439" s="4" t="str">
        <f t="shared" si="4"/>
        <v/>
      </c>
      <c r="G439" s="4" t="str">
        <f t="shared" si="5"/>
        <v/>
      </c>
      <c r="H439" s="4" t="str">
        <f>IF(B439="","",VLOOKUP(B439,Stock!$A$5:$B$21,2,FALSE))</f>
        <v/>
      </c>
    </row>
    <row r="440" spans="1:8" x14ac:dyDescent="0.25">
      <c r="A440" s="4"/>
      <c r="B440" s="4"/>
      <c r="C440" s="4"/>
      <c r="D440" s="4"/>
      <c r="E440" s="4" t="str">
        <f>IF(B440="","",VLOOKUP(B440,Stock!$A$5:$E$21,5,FALSE))</f>
        <v/>
      </c>
      <c r="F440" s="4" t="str">
        <f t="shared" si="4"/>
        <v/>
      </c>
      <c r="G440" s="4" t="str">
        <f t="shared" si="5"/>
        <v/>
      </c>
      <c r="H440" s="4" t="str">
        <f>IF(B440="","",VLOOKUP(B440,Stock!$A$5:$B$21,2,FALSE))</f>
        <v/>
      </c>
    </row>
    <row r="441" spans="1:8" x14ac:dyDescent="0.25">
      <c r="A441" s="4"/>
      <c r="B441" s="4"/>
      <c r="C441" s="4"/>
      <c r="D441" s="4"/>
      <c r="E441" s="4" t="str">
        <f>IF(B441="","",VLOOKUP(B441,Stock!$A$5:$E$21,5,FALSE))</f>
        <v/>
      </c>
      <c r="F441" s="4" t="str">
        <f t="shared" si="4"/>
        <v/>
      </c>
      <c r="G441" s="4" t="str">
        <f t="shared" si="5"/>
        <v/>
      </c>
      <c r="H441" s="4" t="str">
        <f>IF(B441="","",VLOOKUP(B441,Stock!$A$5:$B$21,2,FALSE))</f>
        <v/>
      </c>
    </row>
    <row r="442" spans="1:8" x14ac:dyDescent="0.25">
      <c r="A442" s="4"/>
      <c r="B442" s="4"/>
      <c r="C442" s="4"/>
      <c r="D442" s="4"/>
      <c r="E442" s="4" t="str">
        <f>IF(B442="","",VLOOKUP(B442,Stock!$A$5:$E$21,5,FALSE))</f>
        <v/>
      </c>
      <c r="F442" s="4" t="str">
        <f t="shared" si="4"/>
        <v/>
      </c>
      <c r="G442" s="4" t="str">
        <f t="shared" si="5"/>
        <v/>
      </c>
      <c r="H442" s="4" t="str">
        <f>IF(B442="","",VLOOKUP(B442,Stock!$A$5:$B$21,2,FALSE))</f>
        <v/>
      </c>
    </row>
    <row r="443" spans="1:8" x14ac:dyDescent="0.25">
      <c r="A443" s="4"/>
      <c r="B443" s="4"/>
      <c r="C443" s="4"/>
      <c r="D443" s="4"/>
      <c r="E443" s="4" t="str">
        <f>IF(B443="","",VLOOKUP(B443,Stock!$A$5:$E$21,5,FALSE))</f>
        <v/>
      </c>
      <c r="F443" s="4" t="str">
        <f t="shared" si="4"/>
        <v/>
      </c>
      <c r="G443" s="4" t="str">
        <f t="shared" si="5"/>
        <v/>
      </c>
      <c r="H443" s="4" t="str">
        <f>IF(B443="","",VLOOKUP(B443,Stock!$A$5:$B$21,2,FALSE))</f>
        <v/>
      </c>
    </row>
    <row r="444" spans="1:8" x14ac:dyDescent="0.25">
      <c r="A444" s="4"/>
      <c r="B444" s="4"/>
      <c r="C444" s="4"/>
      <c r="D444" s="4"/>
      <c r="E444" s="4" t="str">
        <f>IF(B444="","",VLOOKUP(B444,Stock!$A$5:$E$21,5,FALSE))</f>
        <v/>
      </c>
      <c r="F444" s="4" t="str">
        <f t="shared" si="4"/>
        <v/>
      </c>
      <c r="G444" s="4" t="str">
        <f t="shared" si="5"/>
        <v/>
      </c>
      <c r="H444" s="4" t="str">
        <f>IF(B444="","",VLOOKUP(B444,Stock!$A$5:$B$21,2,FALSE))</f>
        <v/>
      </c>
    </row>
    <row r="445" spans="1:8" x14ac:dyDescent="0.25">
      <c r="A445" s="4"/>
      <c r="B445" s="4"/>
      <c r="C445" s="4"/>
      <c r="D445" s="4"/>
      <c r="E445" s="4" t="str">
        <f>IF(B445="","",VLOOKUP(B445,Stock!$A$5:$E$21,5,FALSE))</f>
        <v/>
      </c>
      <c r="F445" s="4" t="str">
        <f t="shared" si="4"/>
        <v/>
      </c>
      <c r="G445" s="4" t="str">
        <f t="shared" si="5"/>
        <v/>
      </c>
      <c r="H445" s="4" t="str">
        <f>IF(B445="","",VLOOKUP(B445,Stock!$A$5:$B$21,2,FALSE))</f>
        <v/>
      </c>
    </row>
  </sheetData>
  <autoFilter ref="A2:H448" xr:uid="{00000000-0001-0000-0200-000000000000}"/>
  <sortState xmlns:xlrd2="http://schemas.microsoft.com/office/spreadsheetml/2017/richdata2" ref="A6:H311">
    <sortCondition ref="A6:A311"/>
  </sortState>
  <mergeCells count="1">
    <mergeCell ref="A1:H1"/>
  </mergeCells>
  <pageMargins left="0.75" right="0.75" top="1" bottom="1" header="0.5" footer="0.5"/>
  <pageSetup scale="58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F499"/>
  <sheetViews>
    <sheetView showGridLines="0" workbookViewId="0">
      <selection activeCell="C23" sqref="C5:C23"/>
    </sheetView>
  </sheetViews>
  <sheetFormatPr defaultRowHeight="15" x14ac:dyDescent="0.25"/>
  <cols>
    <col min="1" max="1" width="25.5703125" style="1" customWidth="1"/>
    <col min="2" max="2" width="20" customWidth="1"/>
    <col min="3" max="3" width="24" customWidth="1"/>
    <col min="4" max="5" width="18" customWidth="1"/>
    <col min="6" max="6" width="15" customWidth="1"/>
  </cols>
  <sheetData>
    <row r="1" spans="1:6" ht="24.75" customHeight="1" x14ac:dyDescent="0.35">
      <c r="A1" s="68" t="s">
        <v>41</v>
      </c>
      <c r="B1" s="69"/>
      <c r="C1" s="69"/>
      <c r="D1" s="69"/>
      <c r="E1" s="69"/>
      <c r="F1" s="69"/>
    </row>
    <row r="4" spans="1:6" x14ac:dyDescent="0.25">
      <c r="A4" s="6" t="s">
        <v>29</v>
      </c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</row>
    <row r="5" spans="1:6" x14ac:dyDescent="0.25">
      <c r="A5" s="8">
        <v>46246</v>
      </c>
      <c r="B5" s="22">
        <f>SUMIF('Sales Log'!$A:$A,A5,'Sales Log'!$F:$F)</f>
        <v>756</v>
      </c>
      <c r="C5" s="22">
        <f>SUMIF('Sales Log'!$A:$A,A5,'Sales Log'!$G:$G)</f>
        <v>62.631666666666661</v>
      </c>
      <c r="D5" s="22">
        <f>SUMIF('Sales Log'!$A:$A,A5,'Sales Log'!$C:$C)</f>
        <v>42.56</v>
      </c>
      <c r="E5" s="22">
        <f>COUNTIF('Sales Log'!$A:$A,A5)</f>
        <v>25</v>
      </c>
      <c r="F5" s="22">
        <f t="shared" ref="F5:F68" si="0">IF(B5=0,0,C5/B5)</f>
        <v>8.284611992945326E-2</v>
      </c>
    </row>
    <row r="6" spans="1:6" x14ac:dyDescent="0.25">
      <c r="A6" s="8">
        <v>46247</v>
      </c>
      <c r="B6" s="22">
        <f>SUMIF('Sales Log'!$A:$A,A6,'Sales Log'!$F:$F)</f>
        <v>564</v>
      </c>
      <c r="C6" s="22">
        <f>SUMIF('Sales Log'!$A:$A,A6,'Sales Log'!$G:$G)</f>
        <v>45.145000000000017</v>
      </c>
      <c r="D6" s="22">
        <f>SUMIF('Sales Log'!$A:$A,A6,'Sales Log'!$C:$C)</f>
        <v>31.525000000000002</v>
      </c>
      <c r="E6" s="22">
        <f>COUNTIF('Sales Log'!$A:$A,A6)</f>
        <v>19</v>
      </c>
      <c r="F6" s="22">
        <f t="shared" si="0"/>
        <v>8.0044326241134778E-2</v>
      </c>
    </row>
    <row r="7" spans="1:6" x14ac:dyDescent="0.25">
      <c r="A7" s="8">
        <v>46248</v>
      </c>
      <c r="B7" s="22">
        <f>SUMIF('Sales Log'!$A:$A,A7,'Sales Log'!$F:$F)</f>
        <v>572</v>
      </c>
      <c r="C7" s="22">
        <f>SUMIF('Sales Log'!$A:$A,A7,'Sales Log'!$G:$G)</f>
        <v>59.504999999999988</v>
      </c>
      <c r="D7" s="22">
        <f>SUMIF('Sales Log'!$A:$A,A7,'Sales Log'!$C:$C)</f>
        <v>36.82</v>
      </c>
      <c r="E7" s="22">
        <f>COUNTIF('Sales Log'!$A:$A,A7)</f>
        <v>23</v>
      </c>
      <c r="F7" s="22">
        <f t="shared" si="0"/>
        <v>0.10402972027972025</v>
      </c>
    </row>
    <row r="8" spans="1:6" x14ac:dyDescent="0.25">
      <c r="A8" s="8">
        <v>46249</v>
      </c>
      <c r="B8" s="22">
        <f>SUMIF('Sales Log'!$A:$A,A8,'Sales Log'!$F:$F)</f>
        <v>291</v>
      </c>
      <c r="C8" s="22">
        <f>SUMIF('Sales Log'!$A:$A,A8,'Sales Log'!$G:$G)</f>
        <v>21.276666666666671</v>
      </c>
      <c r="D8" s="22">
        <f>SUMIF('Sales Log'!$A:$A,A8,'Sales Log'!$C:$C)</f>
        <v>16.27</v>
      </c>
      <c r="E8" s="22">
        <f>COUNTIF('Sales Log'!$A:$A,A8)</f>
        <v>11</v>
      </c>
      <c r="F8" s="22">
        <f t="shared" si="0"/>
        <v>7.311569301260025E-2</v>
      </c>
    </row>
    <row r="9" spans="1:6" x14ac:dyDescent="0.25">
      <c r="A9" s="8">
        <v>46250</v>
      </c>
      <c r="B9" s="22">
        <f>SUMIF('Sales Log'!$A:$A,A9,'Sales Log'!$F:$F)</f>
        <v>661</v>
      </c>
      <c r="C9" s="22">
        <f>SUMIF('Sales Log'!$A:$A,A9,'Sales Log'!$G:$G)</f>
        <v>65.394668437131699</v>
      </c>
      <c r="D9" s="22">
        <f>SUMIF('Sales Log'!$A:$A,A9,'Sales Log'!$C:$C)</f>
        <v>35.71</v>
      </c>
      <c r="E9" s="22">
        <f>COUNTIF('Sales Log'!$A:$A,A9)</f>
        <v>18</v>
      </c>
      <c r="F9" s="22">
        <f t="shared" si="0"/>
        <v>9.8932932582650068E-2</v>
      </c>
    </row>
    <row r="10" spans="1:6" x14ac:dyDescent="0.25">
      <c r="A10" s="8">
        <v>46251</v>
      </c>
      <c r="B10" s="22">
        <f>SUMIF('Sales Log'!$A:$A,A10,'Sales Log'!$F:$F)</f>
        <v>450</v>
      </c>
      <c r="C10" s="22">
        <f>SUMIF('Sales Log'!$A:$A,A10,'Sales Log'!$G:$G)</f>
        <v>46.040144147462577</v>
      </c>
      <c r="D10" s="22">
        <f>SUMIF('Sales Log'!$A:$A,A10,'Sales Log'!$C:$C)</f>
        <v>24.169999999999998</v>
      </c>
      <c r="E10" s="22">
        <f>COUNTIF('Sales Log'!$A:$A,A10)</f>
        <v>15</v>
      </c>
      <c r="F10" s="22">
        <f t="shared" si="0"/>
        <v>0.10231143143880572</v>
      </c>
    </row>
    <row r="11" spans="1:6" x14ac:dyDescent="0.25">
      <c r="A11" s="8">
        <v>46252</v>
      </c>
      <c r="B11" s="22">
        <f>SUMIF('Sales Log'!$A:$A,A11,'Sales Log'!$F:$F)</f>
        <v>294</v>
      </c>
      <c r="C11" s="22">
        <f>SUMIF('Sales Log'!$A:$A,A11,'Sales Log'!$G:$G)</f>
        <v>29.336081802524642</v>
      </c>
      <c r="D11" s="22">
        <f>SUMIF('Sales Log'!$A:$A,A11,'Sales Log'!$C:$C)</f>
        <v>16.21</v>
      </c>
      <c r="E11" s="22">
        <f>COUNTIF('Sales Log'!$A:$A,A11)</f>
        <v>11</v>
      </c>
      <c r="F11" s="22">
        <f t="shared" si="0"/>
        <v>9.9782591165049797E-2</v>
      </c>
    </row>
    <row r="12" spans="1:6" x14ac:dyDescent="0.25">
      <c r="A12" s="8">
        <v>46253</v>
      </c>
      <c r="B12" s="22">
        <f>SUMIF('Sales Log'!$A:$A,A12,'Sales Log'!$F:$F)</f>
        <v>493</v>
      </c>
      <c r="C12" s="22">
        <f>SUMIF('Sales Log'!$A:$A,A12,'Sales Log'!$G:$G)</f>
        <v>62.800079434393844</v>
      </c>
      <c r="D12" s="22">
        <f>SUMIF('Sales Log'!$A:$A,A12,'Sales Log'!$C:$C)</f>
        <v>28.75</v>
      </c>
      <c r="E12" s="22">
        <f>COUNTIF('Sales Log'!$A:$A,A12)</f>
        <v>22</v>
      </c>
      <c r="F12" s="22">
        <f t="shared" si="0"/>
        <v>0.12738352826449056</v>
      </c>
    </row>
    <row r="13" spans="1:6" x14ac:dyDescent="0.25">
      <c r="A13" s="8">
        <v>46254</v>
      </c>
      <c r="B13" s="22">
        <f>SUMIF('Sales Log'!$A:$A,A13,'Sales Log'!$F:$F)</f>
        <v>405</v>
      </c>
      <c r="C13" s="22">
        <f>SUMIF('Sales Log'!$A:$A,A13,'Sales Log'!$G:$G)</f>
        <v>37.806600832507506</v>
      </c>
      <c r="D13" s="22">
        <f>SUMIF('Sales Log'!$A:$A,A13,'Sales Log'!$C:$C)</f>
        <v>21.53</v>
      </c>
      <c r="E13" s="22">
        <f>COUNTIF('Sales Log'!$A:$A,A13)</f>
        <v>14</v>
      </c>
      <c r="F13" s="22">
        <f t="shared" si="0"/>
        <v>9.3349631685203716E-2</v>
      </c>
    </row>
    <row r="14" spans="1:6" x14ac:dyDescent="0.25">
      <c r="A14" s="8">
        <v>46255</v>
      </c>
      <c r="B14" s="22">
        <f>SUMIF('Sales Log'!$A:$A,A14,'Sales Log'!$F:$F)</f>
        <v>643</v>
      </c>
      <c r="C14" s="22">
        <f>SUMIF('Sales Log'!$A:$A,A14,'Sales Log'!$G:$G)</f>
        <v>73.134141081918159</v>
      </c>
      <c r="D14" s="22">
        <f>SUMIF('Sales Log'!$A:$A,A14,'Sales Log'!$C:$C)</f>
        <v>34.36</v>
      </c>
      <c r="E14" s="22">
        <f>COUNTIF('Sales Log'!$A:$A,A14)</f>
        <v>20</v>
      </c>
      <c r="F14" s="22">
        <f t="shared" si="0"/>
        <v>0.11373894413984162</v>
      </c>
    </row>
    <row r="15" spans="1:6" x14ac:dyDescent="0.25">
      <c r="A15" s="8">
        <v>46256</v>
      </c>
      <c r="B15" s="22">
        <f>SUMIF('Sales Log'!$A:$A,A15,'Sales Log'!$F:$F)</f>
        <v>339</v>
      </c>
      <c r="C15" s="22">
        <f>SUMIF('Sales Log'!$A:$A,A15,'Sales Log'!$G:$G)</f>
        <v>24.217593503496424</v>
      </c>
      <c r="D15" s="22">
        <f>SUMIF('Sales Log'!$A:$A,A15,'Sales Log'!$C:$C)</f>
        <v>20</v>
      </c>
      <c r="E15" s="22">
        <f>COUNTIF('Sales Log'!$A:$A,A15)</f>
        <v>13</v>
      </c>
      <c r="F15" s="22">
        <f t="shared" si="0"/>
        <v>7.1438328918868504E-2</v>
      </c>
    </row>
    <row r="16" spans="1:6" x14ac:dyDescent="0.25">
      <c r="A16" s="8">
        <v>46257</v>
      </c>
      <c r="B16" s="22">
        <f>SUMIF('Sales Log'!$A:$A,A16,'Sales Log'!$F:$F)</f>
        <v>301</v>
      </c>
      <c r="C16" s="22">
        <f>SUMIF('Sales Log'!$A:$A,A16,'Sales Log'!$G:$G)</f>
        <v>26.24981517657163</v>
      </c>
      <c r="D16" s="22">
        <f>SUMIF('Sales Log'!$A:$A,A16,'Sales Log'!$C:$C)</f>
        <v>16.12</v>
      </c>
      <c r="E16" s="22">
        <f>COUNTIF('Sales Log'!$A:$A,A16)</f>
        <v>11</v>
      </c>
      <c r="F16" s="22">
        <f t="shared" si="0"/>
        <v>8.7208688294257902E-2</v>
      </c>
    </row>
    <row r="17" spans="1:6" x14ac:dyDescent="0.25">
      <c r="A17" s="8">
        <v>46258</v>
      </c>
      <c r="B17" s="22">
        <f>SUMIF('Sales Log'!$A:$A,A17,'Sales Log'!$F:$F)</f>
        <v>394</v>
      </c>
      <c r="C17" s="22">
        <f>SUMIF('Sales Log'!$A:$A,A17,'Sales Log'!$G:$G)</f>
        <v>51.098254147162756</v>
      </c>
      <c r="D17" s="22">
        <f>SUMIF('Sales Log'!$A:$A,A17,'Sales Log'!$C:$C)</f>
        <v>19.840000000000003</v>
      </c>
      <c r="E17" s="22">
        <f>COUNTIF('Sales Log'!$A:$A,A17)</f>
        <v>14</v>
      </c>
      <c r="F17" s="22">
        <f t="shared" si="0"/>
        <v>0.12969100037350953</v>
      </c>
    </row>
    <row r="18" spans="1:6" x14ac:dyDescent="0.25">
      <c r="A18" s="8">
        <v>46259</v>
      </c>
      <c r="B18" s="22">
        <f>SUMIF('Sales Log'!$A:$A,A18,'Sales Log'!$F:$F)</f>
        <v>451</v>
      </c>
      <c r="C18" s="22">
        <f>SUMIF('Sales Log'!$A:$A,A18,'Sales Log'!$G:$G)</f>
        <v>50.969727859079512</v>
      </c>
      <c r="D18" s="22">
        <f>SUMIF('Sales Log'!$A:$A,A18,'Sales Log'!$C:$C)</f>
        <v>22.81</v>
      </c>
      <c r="E18" s="22">
        <f>COUNTIF('Sales Log'!$A:$A,A18)</f>
        <v>13</v>
      </c>
      <c r="F18" s="22">
        <f t="shared" si="0"/>
        <v>0.11301491764762642</v>
      </c>
    </row>
    <row r="19" spans="1:6" x14ac:dyDescent="0.25">
      <c r="A19" s="8">
        <v>46260</v>
      </c>
      <c r="B19" s="22">
        <f>SUMIF('Sales Log'!$A:$A,A19,'Sales Log'!$F:$F)</f>
        <v>234</v>
      </c>
      <c r="C19" s="22">
        <f>SUMIF('Sales Log'!$A:$A,A19,'Sales Log'!$G:$G)</f>
        <v>33.225865883595915</v>
      </c>
      <c r="D19" s="22">
        <f>SUMIF('Sales Log'!$A:$A,A19,'Sales Log'!$C:$C)</f>
        <v>10.25</v>
      </c>
      <c r="E19" s="22">
        <f>COUNTIF('Sales Log'!$A:$A,A19)</f>
        <v>9</v>
      </c>
      <c r="F19" s="22">
        <f t="shared" si="0"/>
        <v>0.14199087984442699</v>
      </c>
    </row>
    <row r="20" spans="1:6" x14ac:dyDescent="0.25">
      <c r="A20" s="8">
        <v>46261</v>
      </c>
      <c r="B20" s="22">
        <f>SUMIF('Sales Log'!$A:$A,A20,'Sales Log'!$F:$F)</f>
        <v>487</v>
      </c>
      <c r="C20" s="22">
        <f>SUMIF('Sales Log'!$A:$A,A20,'Sales Log'!$G:$G)</f>
        <v>51.494441095075302</v>
      </c>
      <c r="D20" s="22">
        <f>SUMIF('Sales Log'!$A:$A,A20,'Sales Log'!$C:$C)</f>
        <v>29.349999999999998</v>
      </c>
      <c r="E20" s="22">
        <f>COUNTIF('Sales Log'!$A:$A,A20)</f>
        <v>15</v>
      </c>
      <c r="F20" s="22">
        <f t="shared" si="0"/>
        <v>0.10573807206380965</v>
      </c>
    </row>
    <row r="21" spans="1:6" x14ac:dyDescent="0.25">
      <c r="A21" s="8">
        <v>46262</v>
      </c>
      <c r="B21" s="22">
        <f>SUMIF('Sales Log'!$A:$A,A21,'Sales Log'!$F:$F)</f>
        <v>823</v>
      </c>
      <c r="C21" s="22">
        <f>SUMIF('Sales Log'!$A:$A,A21,'Sales Log'!$G:$G)</f>
        <v>88.31908762627566</v>
      </c>
      <c r="D21" s="22">
        <f>SUMIF('Sales Log'!$A:$A,A21,'Sales Log'!$C:$C)</f>
        <v>47.719999999999992</v>
      </c>
      <c r="E21" s="22">
        <f>COUNTIF('Sales Log'!$A:$A,A21)</f>
        <v>24</v>
      </c>
      <c r="F21" s="22">
        <f t="shared" si="0"/>
        <v>0.10731359371357918</v>
      </c>
    </row>
    <row r="22" spans="1:6" x14ac:dyDescent="0.25">
      <c r="A22" s="8">
        <v>46263</v>
      </c>
      <c r="B22" s="22">
        <f>SUMIF('Sales Log'!$A:$A,A22,'Sales Log'!$F:$F)</f>
        <v>449</v>
      </c>
      <c r="C22" s="22">
        <f>SUMIF('Sales Log'!$A:$A,A22,'Sales Log'!$G:$G)</f>
        <v>45.037760649435711</v>
      </c>
      <c r="D22" s="22">
        <f>SUMIF('Sales Log'!$A:$A,A22,'Sales Log'!$C:$C)</f>
        <v>26.46</v>
      </c>
      <c r="E22" s="22">
        <f>COUNTIF('Sales Log'!$A:$A,A22)</f>
        <v>13</v>
      </c>
      <c r="F22" s="22">
        <f t="shared" si="0"/>
        <v>0.10030681659117086</v>
      </c>
    </row>
    <row r="23" spans="1:6" x14ac:dyDescent="0.25">
      <c r="A23" s="8">
        <v>46264</v>
      </c>
      <c r="B23" s="22">
        <f>SUMIF('Sales Log'!$A:$A,A23,'Sales Log'!$F:$F)</f>
        <v>709</v>
      </c>
      <c r="C23" s="22">
        <f>SUMIF('Sales Log'!$A:$A,A23,'Sales Log'!$G:$G)</f>
        <v>78.466451721645683</v>
      </c>
      <c r="D23" s="22">
        <f>SUMIF('Sales Log'!$A:$A,A23,'Sales Log'!$C:$C)</f>
        <v>40.5</v>
      </c>
      <c r="E23" s="22">
        <f>COUNTIF('Sales Log'!$A:$A,A23)</f>
        <v>19</v>
      </c>
      <c r="F23" s="22">
        <f t="shared" si="0"/>
        <v>0.11067200524914765</v>
      </c>
    </row>
    <row r="24" spans="1:6" x14ac:dyDescent="0.25">
      <c r="A24" s="8">
        <v>46265</v>
      </c>
      <c r="B24" s="22">
        <f>SUMIF('Sales Log'!$A:$A,A24,'Sales Log'!$F:$F)</f>
        <v>0</v>
      </c>
      <c r="C24" s="22">
        <f>SUMIF('Sales Log'!$A:$A,A24,'Sales Log'!$G:$G)</f>
        <v>0</v>
      </c>
      <c r="D24" s="22">
        <f>SUMIF('Sales Log'!$A:$A,A24,'Sales Log'!$C:$C)</f>
        <v>0</v>
      </c>
      <c r="E24" s="22">
        <f>COUNTIF('Sales Log'!$A:$A,A24)</f>
        <v>0</v>
      </c>
      <c r="F24" s="22">
        <f t="shared" si="0"/>
        <v>0</v>
      </c>
    </row>
    <row r="25" spans="1:6" x14ac:dyDescent="0.25">
      <c r="A25" s="8">
        <v>46266</v>
      </c>
      <c r="B25" s="22">
        <f>SUMIF('Sales Log'!$A:$A,A25,'Sales Log'!$F:$F)</f>
        <v>0</v>
      </c>
      <c r="C25" s="22">
        <f>SUMIF('Sales Log'!$A:$A,A25,'Sales Log'!$G:$G)</f>
        <v>0</v>
      </c>
      <c r="D25" s="22">
        <f>SUMIF('Sales Log'!$A:$A,A25,'Sales Log'!$C:$C)</f>
        <v>0</v>
      </c>
      <c r="E25" s="22">
        <f>COUNTIF('Sales Log'!$A:$A,A25)</f>
        <v>0</v>
      </c>
      <c r="F25" s="22">
        <f t="shared" si="0"/>
        <v>0</v>
      </c>
    </row>
    <row r="26" spans="1:6" x14ac:dyDescent="0.25">
      <c r="A26" s="8">
        <v>46267</v>
      </c>
      <c r="B26" s="22">
        <f>SUMIF('Sales Log'!$A:$A,A26,'Sales Log'!$F:$F)</f>
        <v>0</v>
      </c>
      <c r="C26" s="22">
        <f>SUMIF('Sales Log'!$A:$A,A26,'Sales Log'!$G:$G)</f>
        <v>0</v>
      </c>
      <c r="D26" s="22">
        <f>SUMIF('Sales Log'!$A:$A,A26,'Sales Log'!$C:$C)</f>
        <v>0</v>
      </c>
      <c r="E26" s="22">
        <f>COUNTIF('Sales Log'!$A:$A,A26)</f>
        <v>0</v>
      </c>
      <c r="F26" s="22">
        <f t="shared" si="0"/>
        <v>0</v>
      </c>
    </row>
    <row r="27" spans="1:6" x14ac:dyDescent="0.25">
      <c r="A27" s="8">
        <v>46268</v>
      </c>
      <c r="B27" s="22">
        <f>SUMIF('Sales Log'!$A:$A,A27,'Sales Log'!$F:$F)</f>
        <v>0</v>
      </c>
      <c r="C27" s="22">
        <f>SUMIF('Sales Log'!$A:$A,A27,'Sales Log'!$G:$G)</f>
        <v>0</v>
      </c>
      <c r="D27" s="22">
        <f>SUMIF('Sales Log'!$A:$A,A27,'Sales Log'!$C:$C)</f>
        <v>0</v>
      </c>
      <c r="E27" s="22">
        <f>COUNTIF('Sales Log'!$A:$A,A27)</f>
        <v>0</v>
      </c>
      <c r="F27" s="22">
        <f t="shared" si="0"/>
        <v>0</v>
      </c>
    </row>
    <row r="28" spans="1:6" x14ac:dyDescent="0.25">
      <c r="A28" s="8">
        <v>46269</v>
      </c>
      <c r="B28" s="22">
        <f>SUMIF('Sales Log'!$A:$A,A28,'Sales Log'!$F:$F)</f>
        <v>0</v>
      </c>
      <c r="C28" s="22">
        <f>SUMIF('Sales Log'!$A:$A,A28,'Sales Log'!$G:$G)</f>
        <v>0</v>
      </c>
      <c r="D28" s="22">
        <f>SUMIF('Sales Log'!$A:$A,A28,'Sales Log'!$C:$C)</f>
        <v>0</v>
      </c>
      <c r="E28" s="22">
        <f>COUNTIF('Sales Log'!$A:$A,A28)</f>
        <v>0</v>
      </c>
      <c r="F28" s="22">
        <f t="shared" si="0"/>
        <v>0</v>
      </c>
    </row>
    <row r="29" spans="1:6" x14ac:dyDescent="0.25">
      <c r="A29" s="8">
        <v>46270</v>
      </c>
      <c r="B29" s="22">
        <f>SUMIF('Sales Log'!$A:$A,A29,'Sales Log'!$F:$F)</f>
        <v>0</v>
      </c>
      <c r="C29" s="22">
        <f>SUMIF('Sales Log'!$A:$A,A29,'Sales Log'!$G:$G)</f>
        <v>0</v>
      </c>
      <c r="D29" s="22">
        <f>SUMIF('Sales Log'!$A:$A,A29,'Sales Log'!$C:$C)</f>
        <v>0</v>
      </c>
      <c r="E29" s="22">
        <f>COUNTIF('Sales Log'!$A:$A,A29)</f>
        <v>0</v>
      </c>
      <c r="F29" s="22">
        <f t="shared" si="0"/>
        <v>0</v>
      </c>
    </row>
    <row r="30" spans="1:6" x14ac:dyDescent="0.25">
      <c r="A30" s="8">
        <v>46271</v>
      </c>
      <c r="B30" s="22">
        <f>SUMIF('Sales Log'!$A:$A,A30,'Sales Log'!$F:$F)</f>
        <v>0</v>
      </c>
      <c r="C30" s="22">
        <f>SUMIF('Sales Log'!$A:$A,A30,'Sales Log'!$G:$G)</f>
        <v>0</v>
      </c>
      <c r="D30" s="22">
        <f>SUMIF('Sales Log'!$A:$A,A30,'Sales Log'!$C:$C)</f>
        <v>0</v>
      </c>
      <c r="E30" s="22">
        <f>COUNTIF('Sales Log'!$A:$A,A30)</f>
        <v>0</v>
      </c>
      <c r="F30" s="22">
        <f t="shared" si="0"/>
        <v>0</v>
      </c>
    </row>
    <row r="31" spans="1:6" x14ac:dyDescent="0.25">
      <c r="A31" s="8">
        <v>46272</v>
      </c>
      <c r="B31" s="22">
        <f>SUMIF('Sales Log'!$A:$A,A31,'Sales Log'!$F:$F)</f>
        <v>0</v>
      </c>
      <c r="C31" s="22">
        <f>SUMIF('Sales Log'!$A:$A,A31,'Sales Log'!$G:$G)</f>
        <v>0</v>
      </c>
      <c r="D31" s="22">
        <f>SUMIF('Sales Log'!$A:$A,A31,'Sales Log'!$C:$C)</f>
        <v>0</v>
      </c>
      <c r="E31" s="22">
        <f>COUNTIF('Sales Log'!$A:$A,A31)</f>
        <v>0</v>
      </c>
      <c r="F31" s="22">
        <f t="shared" si="0"/>
        <v>0</v>
      </c>
    </row>
    <row r="32" spans="1:6" x14ac:dyDescent="0.25">
      <c r="A32" s="8">
        <v>46273</v>
      </c>
      <c r="B32" s="22">
        <f>SUMIF('Sales Log'!$A:$A,A32,'Sales Log'!$F:$F)</f>
        <v>0</v>
      </c>
      <c r="C32" s="22">
        <f>SUMIF('Sales Log'!$A:$A,A32,'Sales Log'!$G:$G)</f>
        <v>0</v>
      </c>
      <c r="D32" s="22">
        <f>SUMIF('Sales Log'!$A:$A,A32,'Sales Log'!$C:$C)</f>
        <v>0</v>
      </c>
      <c r="E32" s="22">
        <f>COUNTIF('Sales Log'!$A:$A,A32)</f>
        <v>0</v>
      </c>
      <c r="F32" s="22">
        <f t="shared" si="0"/>
        <v>0</v>
      </c>
    </row>
    <row r="33" spans="1:6" x14ac:dyDescent="0.25">
      <c r="A33" s="8">
        <v>46274</v>
      </c>
      <c r="B33" s="22">
        <f>SUMIF('Sales Log'!$A:$A,A33,'Sales Log'!$F:$F)</f>
        <v>0</v>
      </c>
      <c r="C33" s="22">
        <f>SUMIF('Sales Log'!$A:$A,A33,'Sales Log'!$G:$G)</f>
        <v>0</v>
      </c>
      <c r="D33" s="22">
        <f>SUMIF('Sales Log'!$A:$A,A33,'Sales Log'!$C:$C)</f>
        <v>0</v>
      </c>
      <c r="E33" s="22">
        <f>COUNTIF('Sales Log'!$A:$A,A33)</f>
        <v>0</v>
      </c>
      <c r="F33" s="22">
        <f t="shared" si="0"/>
        <v>0</v>
      </c>
    </row>
    <row r="34" spans="1:6" x14ac:dyDescent="0.25">
      <c r="A34" s="8">
        <v>46275</v>
      </c>
      <c r="B34" s="22">
        <f>SUMIF('Sales Log'!$A:$A,A34,'Sales Log'!$F:$F)</f>
        <v>0</v>
      </c>
      <c r="C34" s="22">
        <f>SUMIF('Sales Log'!$A:$A,A34,'Sales Log'!$G:$G)</f>
        <v>0</v>
      </c>
      <c r="D34" s="22">
        <f>SUMIF('Sales Log'!$A:$A,A34,'Sales Log'!$C:$C)</f>
        <v>0</v>
      </c>
      <c r="E34" s="22">
        <f>COUNTIF('Sales Log'!$A:$A,A34)</f>
        <v>0</v>
      </c>
      <c r="F34" s="22">
        <f t="shared" si="0"/>
        <v>0</v>
      </c>
    </row>
    <row r="35" spans="1:6" x14ac:dyDescent="0.25">
      <c r="A35" s="8">
        <v>46276</v>
      </c>
      <c r="B35" s="22">
        <f>SUMIF('Sales Log'!$A:$A,A35,'Sales Log'!$F:$F)</f>
        <v>0</v>
      </c>
      <c r="C35" s="22">
        <f>SUMIF('Sales Log'!$A:$A,A35,'Sales Log'!$G:$G)</f>
        <v>0</v>
      </c>
      <c r="D35" s="22">
        <f>SUMIF('Sales Log'!$A:$A,A35,'Sales Log'!$C:$C)</f>
        <v>0</v>
      </c>
      <c r="E35" s="22">
        <f>COUNTIF('Sales Log'!$A:$A,A35)</f>
        <v>0</v>
      </c>
      <c r="F35" s="22">
        <f t="shared" si="0"/>
        <v>0</v>
      </c>
    </row>
    <row r="36" spans="1:6" x14ac:dyDescent="0.25">
      <c r="A36" s="8">
        <v>46277</v>
      </c>
      <c r="B36" s="22">
        <f>SUMIF('Sales Log'!$A:$A,A36,'Sales Log'!$F:$F)</f>
        <v>0</v>
      </c>
      <c r="C36" s="22">
        <f>SUMIF('Sales Log'!$A:$A,A36,'Sales Log'!$G:$G)</f>
        <v>0</v>
      </c>
      <c r="D36" s="22">
        <f>SUMIF('Sales Log'!$A:$A,A36,'Sales Log'!$C:$C)</f>
        <v>0</v>
      </c>
      <c r="E36" s="22">
        <f>COUNTIF('Sales Log'!$A:$A,A36)</f>
        <v>0</v>
      </c>
      <c r="F36" s="22">
        <f t="shared" si="0"/>
        <v>0</v>
      </c>
    </row>
    <row r="37" spans="1:6" x14ac:dyDescent="0.25">
      <c r="A37" s="8">
        <v>46278</v>
      </c>
      <c r="B37" s="22">
        <f>SUMIF('Sales Log'!$A:$A,A37,'Sales Log'!$F:$F)</f>
        <v>0</v>
      </c>
      <c r="C37" s="22">
        <f>SUMIF('Sales Log'!$A:$A,A37,'Sales Log'!$G:$G)</f>
        <v>0</v>
      </c>
      <c r="D37" s="22">
        <f>SUMIF('Sales Log'!$A:$A,A37,'Sales Log'!$C:$C)</f>
        <v>0</v>
      </c>
      <c r="E37" s="22">
        <f>COUNTIF('Sales Log'!$A:$A,A37)</f>
        <v>0</v>
      </c>
      <c r="F37" s="22">
        <f t="shared" si="0"/>
        <v>0</v>
      </c>
    </row>
    <row r="38" spans="1:6" x14ac:dyDescent="0.25">
      <c r="A38" s="8">
        <v>46279</v>
      </c>
      <c r="B38" s="22">
        <f>SUMIF('Sales Log'!$A:$A,A38,'Sales Log'!$F:$F)</f>
        <v>0</v>
      </c>
      <c r="C38" s="22">
        <f>SUMIF('Sales Log'!$A:$A,A38,'Sales Log'!$G:$G)</f>
        <v>0</v>
      </c>
      <c r="D38" s="22">
        <f>SUMIF('Sales Log'!$A:$A,A38,'Sales Log'!$C:$C)</f>
        <v>0</v>
      </c>
      <c r="E38" s="22">
        <f>COUNTIF('Sales Log'!$A:$A,A38)</f>
        <v>0</v>
      </c>
      <c r="F38" s="22">
        <f t="shared" si="0"/>
        <v>0</v>
      </c>
    </row>
    <row r="39" spans="1:6" x14ac:dyDescent="0.25">
      <c r="A39" s="8">
        <v>46280</v>
      </c>
      <c r="B39" s="22">
        <f>SUMIF('Sales Log'!$A:$A,A39,'Sales Log'!$F:$F)</f>
        <v>0</v>
      </c>
      <c r="C39" s="22">
        <f>SUMIF('Sales Log'!$A:$A,A39,'Sales Log'!$G:$G)</f>
        <v>0</v>
      </c>
      <c r="D39" s="22">
        <f>SUMIF('Sales Log'!$A:$A,A39,'Sales Log'!$C:$C)</f>
        <v>0</v>
      </c>
      <c r="E39" s="22">
        <f>COUNTIF('Sales Log'!$A:$A,A39)</f>
        <v>0</v>
      </c>
      <c r="F39" s="22">
        <f t="shared" si="0"/>
        <v>0</v>
      </c>
    </row>
    <row r="40" spans="1:6" x14ac:dyDescent="0.25">
      <c r="A40" s="8">
        <v>46281</v>
      </c>
      <c r="B40" s="22">
        <f>SUMIF('Sales Log'!$A:$A,A40,'Sales Log'!$F:$F)</f>
        <v>0</v>
      </c>
      <c r="C40" s="22">
        <f>SUMIF('Sales Log'!$A:$A,A40,'Sales Log'!$G:$G)</f>
        <v>0</v>
      </c>
      <c r="D40" s="22">
        <f>SUMIF('Sales Log'!$A:$A,A40,'Sales Log'!$C:$C)</f>
        <v>0</v>
      </c>
      <c r="E40" s="22">
        <f>COUNTIF('Sales Log'!$A:$A,A40)</f>
        <v>0</v>
      </c>
      <c r="F40" s="22">
        <f t="shared" si="0"/>
        <v>0</v>
      </c>
    </row>
    <row r="41" spans="1:6" x14ac:dyDescent="0.25">
      <c r="A41" s="8">
        <v>46282</v>
      </c>
      <c r="B41" s="22">
        <f>SUMIF('Sales Log'!$A:$A,A41,'Sales Log'!$F:$F)</f>
        <v>0</v>
      </c>
      <c r="C41" s="22">
        <f>SUMIF('Sales Log'!$A:$A,A41,'Sales Log'!$G:$G)</f>
        <v>0</v>
      </c>
      <c r="D41" s="22">
        <f>SUMIF('Sales Log'!$A:$A,A41,'Sales Log'!$C:$C)</f>
        <v>0</v>
      </c>
      <c r="E41" s="22">
        <f>COUNTIF('Sales Log'!$A:$A,A41)</f>
        <v>0</v>
      </c>
      <c r="F41" s="22">
        <f t="shared" si="0"/>
        <v>0</v>
      </c>
    </row>
    <row r="42" spans="1:6" x14ac:dyDescent="0.25">
      <c r="A42" s="8">
        <v>46283</v>
      </c>
      <c r="B42" s="22">
        <f>SUMIF('Sales Log'!$A:$A,A42,'Sales Log'!$F:$F)</f>
        <v>0</v>
      </c>
      <c r="C42" s="22">
        <f>SUMIF('Sales Log'!$A:$A,A42,'Sales Log'!$G:$G)</f>
        <v>0</v>
      </c>
      <c r="D42" s="22">
        <f>SUMIF('Sales Log'!$A:$A,A42,'Sales Log'!$C:$C)</f>
        <v>0</v>
      </c>
      <c r="E42" s="22">
        <f>COUNTIF('Sales Log'!$A:$A,A42)</f>
        <v>0</v>
      </c>
      <c r="F42" s="22">
        <f t="shared" si="0"/>
        <v>0</v>
      </c>
    </row>
    <row r="43" spans="1:6" x14ac:dyDescent="0.25">
      <c r="A43" s="8">
        <v>46284</v>
      </c>
      <c r="B43" s="22">
        <f>SUMIF('Sales Log'!$A:$A,A43,'Sales Log'!$F:$F)</f>
        <v>0</v>
      </c>
      <c r="C43" s="22">
        <f>SUMIF('Sales Log'!$A:$A,A43,'Sales Log'!$G:$G)</f>
        <v>0</v>
      </c>
      <c r="D43" s="22">
        <f>SUMIF('Sales Log'!$A:$A,A43,'Sales Log'!$C:$C)</f>
        <v>0</v>
      </c>
      <c r="E43" s="22">
        <f>COUNTIF('Sales Log'!$A:$A,A43)</f>
        <v>0</v>
      </c>
      <c r="F43" s="22">
        <f t="shared" si="0"/>
        <v>0</v>
      </c>
    </row>
    <row r="44" spans="1:6" x14ac:dyDescent="0.25">
      <c r="A44" s="8">
        <v>46285</v>
      </c>
      <c r="B44" s="22">
        <f>SUMIF('Sales Log'!$A:$A,A44,'Sales Log'!$F:$F)</f>
        <v>0</v>
      </c>
      <c r="C44" s="22">
        <f>SUMIF('Sales Log'!$A:$A,A44,'Sales Log'!$G:$G)</f>
        <v>0</v>
      </c>
      <c r="D44" s="22">
        <f>SUMIF('Sales Log'!$A:$A,A44,'Sales Log'!$C:$C)</f>
        <v>0</v>
      </c>
      <c r="E44" s="22">
        <f>COUNTIF('Sales Log'!$A:$A,A44)</f>
        <v>0</v>
      </c>
      <c r="F44" s="22">
        <f t="shared" si="0"/>
        <v>0</v>
      </c>
    </row>
    <row r="45" spans="1:6" x14ac:dyDescent="0.25">
      <c r="A45" s="8">
        <v>46286</v>
      </c>
      <c r="B45" s="22">
        <f>SUMIF('Sales Log'!$A:$A,A45,'Sales Log'!$F:$F)</f>
        <v>0</v>
      </c>
      <c r="C45" s="22">
        <f>SUMIF('Sales Log'!$A:$A,A45,'Sales Log'!$G:$G)</f>
        <v>0</v>
      </c>
      <c r="D45" s="22">
        <f>SUMIF('Sales Log'!$A:$A,A45,'Sales Log'!$C:$C)</f>
        <v>0</v>
      </c>
      <c r="E45" s="22">
        <f>COUNTIF('Sales Log'!$A:$A,A45)</f>
        <v>0</v>
      </c>
      <c r="F45" s="22">
        <f t="shared" si="0"/>
        <v>0</v>
      </c>
    </row>
    <row r="46" spans="1:6" x14ac:dyDescent="0.25">
      <c r="A46" s="8">
        <v>46287</v>
      </c>
      <c r="B46" s="22">
        <f>SUMIF('Sales Log'!$A:$A,A46,'Sales Log'!$F:$F)</f>
        <v>0</v>
      </c>
      <c r="C46" s="22">
        <f>SUMIF('Sales Log'!$A:$A,A46,'Sales Log'!$G:$G)</f>
        <v>0</v>
      </c>
      <c r="D46" s="22">
        <f>SUMIF('Sales Log'!$A:$A,A46,'Sales Log'!$C:$C)</f>
        <v>0</v>
      </c>
      <c r="E46" s="22">
        <f>COUNTIF('Sales Log'!$A:$A,A46)</f>
        <v>0</v>
      </c>
      <c r="F46" s="22">
        <f t="shared" si="0"/>
        <v>0</v>
      </c>
    </row>
    <row r="47" spans="1:6" x14ac:dyDescent="0.25">
      <c r="A47" s="8">
        <v>46288</v>
      </c>
      <c r="B47" s="22">
        <f>SUMIF('Sales Log'!$A:$A,A47,'Sales Log'!$F:$F)</f>
        <v>0</v>
      </c>
      <c r="C47" s="22">
        <f>SUMIF('Sales Log'!$A:$A,A47,'Sales Log'!$G:$G)</f>
        <v>0</v>
      </c>
      <c r="D47" s="22">
        <f>SUMIF('Sales Log'!$A:$A,A47,'Sales Log'!$C:$C)</f>
        <v>0</v>
      </c>
      <c r="E47" s="22">
        <f>COUNTIF('Sales Log'!$A:$A,A47)</f>
        <v>0</v>
      </c>
      <c r="F47" s="22">
        <f t="shared" si="0"/>
        <v>0</v>
      </c>
    </row>
    <row r="48" spans="1:6" x14ac:dyDescent="0.25">
      <c r="A48" s="8">
        <v>46289</v>
      </c>
      <c r="B48" s="22">
        <f>SUMIF('Sales Log'!$A:$A,A48,'Sales Log'!$F:$F)</f>
        <v>0</v>
      </c>
      <c r="C48" s="22">
        <f>SUMIF('Sales Log'!$A:$A,A48,'Sales Log'!$G:$G)</f>
        <v>0</v>
      </c>
      <c r="D48" s="22">
        <f>SUMIF('Sales Log'!$A:$A,A48,'Sales Log'!$C:$C)</f>
        <v>0</v>
      </c>
      <c r="E48" s="22">
        <f>COUNTIF('Sales Log'!$A:$A,A48)</f>
        <v>0</v>
      </c>
      <c r="F48" s="22">
        <f t="shared" si="0"/>
        <v>0</v>
      </c>
    </row>
    <row r="49" spans="1:6" x14ac:dyDescent="0.25">
      <c r="A49" s="8">
        <v>46290</v>
      </c>
      <c r="B49" s="22">
        <f>SUMIF('Sales Log'!$A:$A,A49,'Sales Log'!$F:$F)</f>
        <v>0</v>
      </c>
      <c r="C49" s="22">
        <f>SUMIF('Sales Log'!$A:$A,A49,'Sales Log'!$G:$G)</f>
        <v>0</v>
      </c>
      <c r="D49" s="22">
        <f>SUMIF('Sales Log'!$A:$A,A49,'Sales Log'!$C:$C)</f>
        <v>0</v>
      </c>
      <c r="E49" s="22">
        <f>COUNTIF('Sales Log'!$A:$A,A49)</f>
        <v>0</v>
      </c>
      <c r="F49" s="22">
        <f t="shared" si="0"/>
        <v>0</v>
      </c>
    </row>
    <row r="50" spans="1:6" x14ac:dyDescent="0.25">
      <c r="A50" s="8">
        <v>46291</v>
      </c>
      <c r="B50" s="22">
        <f>SUMIF('Sales Log'!$A:$A,A50,'Sales Log'!$F:$F)</f>
        <v>0</v>
      </c>
      <c r="C50" s="22">
        <f>SUMIF('Sales Log'!$A:$A,A50,'Sales Log'!$G:$G)</f>
        <v>0</v>
      </c>
      <c r="D50" s="22">
        <f>SUMIF('Sales Log'!$A:$A,A50,'Sales Log'!$C:$C)</f>
        <v>0</v>
      </c>
      <c r="E50" s="22">
        <f>COUNTIF('Sales Log'!$A:$A,A50)</f>
        <v>0</v>
      </c>
      <c r="F50" s="22">
        <f t="shared" si="0"/>
        <v>0</v>
      </c>
    </row>
    <row r="51" spans="1:6" x14ac:dyDescent="0.25">
      <c r="A51" s="8">
        <v>46292</v>
      </c>
      <c r="B51" s="22">
        <f>SUMIF('Sales Log'!$A:$A,A51,'Sales Log'!$F:$F)</f>
        <v>0</v>
      </c>
      <c r="C51" s="22">
        <f>SUMIF('Sales Log'!$A:$A,A51,'Sales Log'!$G:$G)</f>
        <v>0</v>
      </c>
      <c r="D51" s="22">
        <f>SUMIF('Sales Log'!$A:$A,A51,'Sales Log'!$C:$C)</f>
        <v>0</v>
      </c>
      <c r="E51" s="22">
        <f>COUNTIF('Sales Log'!$A:$A,A51)</f>
        <v>0</v>
      </c>
      <c r="F51" s="22">
        <f t="shared" si="0"/>
        <v>0</v>
      </c>
    </row>
    <row r="52" spans="1:6" x14ac:dyDescent="0.25">
      <c r="A52" s="8">
        <v>46293</v>
      </c>
      <c r="B52" s="22">
        <f>SUMIF('Sales Log'!$A:$A,A52,'Sales Log'!$F:$F)</f>
        <v>0</v>
      </c>
      <c r="C52" s="22">
        <f>SUMIF('Sales Log'!$A:$A,A52,'Sales Log'!$G:$G)</f>
        <v>0</v>
      </c>
      <c r="D52" s="22">
        <f>SUMIF('Sales Log'!$A:$A,A52,'Sales Log'!$C:$C)</f>
        <v>0</v>
      </c>
      <c r="E52" s="22">
        <f>COUNTIF('Sales Log'!$A:$A,A52)</f>
        <v>0</v>
      </c>
      <c r="F52" s="22">
        <f t="shared" si="0"/>
        <v>0</v>
      </c>
    </row>
    <row r="53" spans="1:6" x14ac:dyDescent="0.25">
      <c r="A53" s="8">
        <v>46294</v>
      </c>
      <c r="B53" s="22">
        <f>SUMIF('Sales Log'!$A:$A,A53,'Sales Log'!$F:$F)</f>
        <v>0</v>
      </c>
      <c r="C53" s="22">
        <f>SUMIF('Sales Log'!$A:$A,A53,'Sales Log'!$G:$G)</f>
        <v>0</v>
      </c>
      <c r="D53" s="22">
        <f>SUMIF('Sales Log'!$A:$A,A53,'Sales Log'!$C:$C)</f>
        <v>0</v>
      </c>
      <c r="E53" s="22">
        <f>COUNTIF('Sales Log'!$A:$A,A53)</f>
        <v>0</v>
      </c>
      <c r="F53" s="22">
        <f t="shared" si="0"/>
        <v>0</v>
      </c>
    </row>
    <row r="54" spans="1:6" x14ac:dyDescent="0.25">
      <c r="A54" s="8">
        <v>46295</v>
      </c>
      <c r="B54" s="22">
        <f>SUMIF('Sales Log'!$A:$A,A54,'Sales Log'!$F:$F)</f>
        <v>0</v>
      </c>
      <c r="C54" s="22">
        <f>SUMIF('Sales Log'!$A:$A,A54,'Sales Log'!$G:$G)</f>
        <v>0</v>
      </c>
      <c r="D54" s="22">
        <f>SUMIF('Sales Log'!$A:$A,A54,'Sales Log'!$C:$C)</f>
        <v>0</v>
      </c>
      <c r="E54" s="22">
        <f>COUNTIF('Sales Log'!$A:$A,A54)</f>
        <v>0</v>
      </c>
      <c r="F54" s="22">
        <f t="shared" si="0"/>
        <v>0</v>
      </c>
    </row>
    <row r="55" spans="1:6" x14ac:dyDescent="0.25">
      <c r="A55" s="8">
        <v>46296</v>
      </c>
      <c r="B55" s="22">
        <f>SUMIF('Sales Log'!$A:$A,A55,'Sales Log'!$F:$F)</f>
        <v>0</v>
      </c>
      <c r="C55" s="22">
        <f>SUMIF('Sales Log'!$A:$A,A55,'Sales Log'!$G:$G)</f>
        <v>0</v>
      </c>
      <c r="D55" s="22">
        <f>SUMIF('Sales Log'!$A:$A,A55,'Sales Log'!$C:$C)</f>
        <v>0</v>
      </c>
      <c r="E55" s="22">
        <f>COUNTIF('Sales Log'!$A:$A,A55)</f>
        <v>0</v>
      </c>
      <c r="F55" s="22">
        <f t="shared" si="0"/>
        <v>0</v>
      </c>
    </row>
    <row r="56" spans="1:6" x14ac:dyDescent="0.25">
      <c r="A56" s="8">
        <v>46297</v>
      </c>
      <c r="B56" s="22">
        <f>SUMIF('Sales Log'!$A:$A,A56,'Sales Log'!$F:$F)</f>
        <v>0</v>
      </c>
      <c r="C56" s="22">
        <f>SUMIF('Sales Log'!$A:$A,A56,'Sales Log'!$G:$G)</f>
        <v>0</v>
      </c>
      <c r="D56" s="22">
        <f>SUMIF('Sales Log'!$A:$A,A56,'Sales Log'!$C:$C)</f>
        <v>0</v>
      </c>
      <c r="E56" s="22">
        <f>COUNTIF('Sales Log'!$A:$A,A56)</f>
        <v>0</v>
      </c>
      <c r="F56" s="22">
        <f t="shared" si="0"/>
        <v>0</v>
      </c>
    </row>
    <row r="57" spans="1:6" x14ac:dyDescent="0.25">
      <c r="A57" s="8">
        <v>46298</v>
      </c>
      <c r="B57" s="22">
        <f>SUMIF('Sales Log'!$A:$A,A57,'Sales Log'!$F:$F)</f>
        <v>0</v>
      </c>
      <c r="C57" s="22">
        <f>SUMIF('Sales Log'!$A:$A,A57,'Sales Log'!$G:$G)</f>
        <v>0</v>
      </c>
      <c r="D57" s="22">
        <f>SUMIF('Sales Log'!$A:$A,A57,'Sales Log'!$C:$C)</f>
        <v>0</v>
      </c>
      <c r="E57" s="22">
        <f>COUNTIF('Sales Log'!$A:$A,A57)</f>
        <v>0</v>
      </c>
      <c r="F57" s="22">
        <f t="shared" si="0"/>
        <v>0</v>
      </c>
    </row>
    <row r="58" spans="1:6" x14ac:dyDescent="0.25">
      <c r="A58" s="8">
        <v>46299</v>
      </c>
      <c r="B58" s="22">
        <f>SUMIF('Sales Log'!$A:$A,A58,'Sales Log'!$F:$F)</f>
        <v>0</v>
      </c>
      <c r="C58" s="22">
        <f>SUMIF('Sales Log'!$A:$A,A58,'Sales Log'!$G:$G)</f>
        <v>0</v>
      </c>
      <c r="D58" s="22">
        <f>SUMIF('Sales Log'!$A:$A,A58,'Sales Log'!$C:$C)</f>
        <v>0</v>
      </c>
      <c r="E58" s="22">
        <f>COUNTIF('Sales Log'!$A:$A,A58)</f>
        <v>0</v>
      </c>
      <c r="F58" s="22">
        <f t="shared" si="0"/>
        <v>0</v>
      </c>
    </row>
    <row r="59" spans="1:6" x14ac:dyDescent="0.25">
      <c r="A59" s="8">
        <v>46300</v>
      </c>
      <c r="B59" s="22">
        <f>SUMIF('Sales Log'!$A:$A,A59,'Sales Log'!$F:$F)</f>
        <v>0</v>
      </c>
      <c r="C59" s="22">
        <f>SUMIF('Sales Log'!$A:$A,A59,'Sales Log'!$G:$G)</f>
        <v>0</v>
      </c>
      <c r="D59" s="22">
        <f>SUMIF('Sales Log'!$A:$A,A59,'Sales Log'!$C:$C)</f>
        <v>0</v>
      </c>
      <c r="E59" s="22">
        <f>COUNTIF('Sales Log'!$A:$A,A59)</f>
        <v>0</v>
      </c>
      <c r="F59" s="22">
        <f t="shared" si="0"/>
        <v>0</v>
      </c>
    </row>
    <row r="60" spans="1:6" x14ac:dyDescent="0.25">
      <c r="A60" s="8">
        <v>46301</v>
      </c>
      <c r="B60" s="22">
        <f>SUMIF('Sales Log'!$A:$A,A60,'Sales Log'!$F:$F)</f>
        <v>0</v>
      </c>
      <c r="C60" s="22">
        <f>SUMIF('Sales Log'!$A:$A,A60,'Sales Log'!$G:$G)</f>
        <v>0</v>
      </c>
      <c r="D60" s="22">
        <f>SUMIF('Sales Log'!$A:$A,A60,'Sales Log'!$C:$C)</f>
        <v>0</v>
      </c>
      <c r="E60" s="22">
        <f>COUNTIF('Sales Log'!$A:$A,A60)</f>
        <v>0</v>
      </c>
      <c r="F60" s="22">
        <f t="shared" si="0"/>
        <v>0</v>
      </c>
    </row>
    <row r="61" spans="1:6" x14ac:dyDescent="0.25">
      <c r="A61" s="8">
        <v>46302</v>
      </c>
      <c r="B61" s="22">
        <f>SUMIF('Sales Log'!$A:$A,A61,'Sales Log'!$F:$F)</f>
        <v>0</v>
      </c>
      <c r="C61" s="22">
        <f>SUMIF('Sales Log'!$A:$A,A61,'Sales Log'!$G:$G)</f>
        <v>0</v>
      </c>
      <c r="D61" s="22">
        <f>SUMIF('Sales Log'!$A:$A,A61,'Sales Log'!$C:$C)</f>
        <v>0</v>
      </c>
      <c r="E61" s="22">
        <f>COUNTIF('Sales Log'!$A:$A,A61)</f>
        <v>0</v>
      </c>
      <c r="F61" s="22">
        <f t="shared" si="0"/>
        <v>0</v>
      </c>
    </row>
    <row r="62" spans="1:6" x14ac:dyDescent="0.25">
      <c r="A62" s="8">
        <v>46303</v>
      </c>
      <c r="B62" s="22">
        <f>SUMIF('Sales Log'!$A:$A,A62,'Sales Log'!$F:$F)</f>
        <v>0</v>
      </c>
      <c r="C62" s="22">
        <f>SUMIF('Sales Log'!$A:$A,A62,'Sales Log'!$G:$G)</f>
        <v>0</v>
      </c>
      <c r="D62" s="22">
        <f>SUMIF('Sales Log'!$A:$A,A62,'Sales Log'!$C:$C)</f>
        <v>0</v>
      </c>
      <c r="E62" s="22">
        <f>COUNTIF('Sales Log'!$A:$A,A62)</f>
        <v>0</v>
      </c>
      <c r="F62" s="22">
        <f t="shared" si="0"/>
        <v>0</v>
      </c>
    </row>
    <row r="63" spans="1:6" x14ac:dyDescent="0.25">
      <c r="A63" s="8">
        <v>46304</v>
      </c>
      <c r="B63" s="22">
        <f>SUMIF('Sales Log'!$A:$A,A63,'Sales Log'!$F:$F)</f>
        <v>0</v>
      </c>
      <c r="C63" s="22">
        <f>SUMIF('Sales Log'!$A:$A,A63,'Sales Log'!$G:$G)</f>
        <v>0</v>
      </c>
      <c r="D63" s="22">
        <f>SUMIF('Sales Log'!$A:$A,A63,'Sales Log'!$C:$C)</f>
        <v>0</v>
      </c>
      <c r="E63" s="22">
        <f>COUNTIF('Sales Log'!$A:$A,A63)</f>
        <v>0</v>
      </c>
      <c r="F63" s="22">
        <f t="shared" si="0"/>
        <v>0</v>
      </c>
    </row>
    <row r="64" spans="1:6" x14ac:dyDescent="0.25">
      <c r="A64" s="8">
        <v>46305</v>
      </c>
      <c r="B64" s="22">
        <f>SUMIF('Sales Log'!$A:$A,A64,'Sales Log'!$F:$F)</f>
        <v>0</v>
      </c>
      <c r="C64" s="22">
        <f>SUMIF('Sales Log'!$A:$A,A64,'Sales Log'!$G:$G)</f>
        <v>0</v>
      </c>
      <c r="D64" s="22">
        <f>SUMIF('Sales Log'!$A:$A,A64,'Sales Log'!$C:$C)</f>
        <v>0</v>
      </c>
      <c r="E64" s="22">
        <f>COUNTIF('Sales Log'!$A:$A,A64)</f>
        <v>0</v>
      </c>
      <c r="F64" s="22">
        <f t="shared" si="0"/>
        <v>0</v>
      </c>
    </row>
    <row r="65" spans="1:6" x14ac:dyDescent="0.25">
      <c r="A65" s="8">
        <v>46306</v>
      </c>
      <c r="B65" s="22">
        <f>SUMIF('Sales Log'!$A:$A,A65,'Sales Log'!$F:$F)</f>
        <v>0</v>
      </c>
      <c r="C65" s="22">
        <f>SUMIF('Sales Log'!$A:$A,A65,'Sales Log'!$G:$G)</f>
        <v>0</v>
      </c>
      <c r="D65" s="22">
        <f>SUMIF('Sales Log'!$A:$A,A65,'Sales Log'!$C:$C)</f>
        <v>0</v>
      </c>
      <c r="E65" s="22">
        <f>COUNTIF('Sales Log'!$A:$A,A65)</f>
        <v>0</v>
      </c>
      <c r="F65" s="22">
        <f t="shared" si="0"/>
        <v>0</v>
      </c>
    </row>
    <row r="66" spans="1:6" x14ac:dyDescent="0.25">
      <c r="A66" s="8">
        <v>46307</v>
      </c>
      <c r="B66" s="22">
        <f>SUMIF('Sales Log'!$A:$A,A66,'Sales Log'!$F:$F)</f>
        <v>0</v>
      </c>
      <c r="C66" s="22">
        <f>SUMIF('Sales Log'!$A:$A,A66,'Sales Log'!$G:$G)</f>
        <v>0</v>
      </c>
      <c r="D66" s="22">
        <f>SUMIF('Sales Log'!$A:$A,A66,'Sales Log'!$C:$C)</f>
        <v>0</v>
      </c>
      <c r="E66" s="22">
        <f>COUNTIF('Sales Log'!$A:$A,A66)</f>
        <v>0</v>
      </c>
      <c r="F66" s="22">
        <f t="shared" si="0"/>
        <v>0</v>
      </c>
    </row>
    <row r="67" spans="1:6" x14ac:dyDescent="0.25">
      <c r="A67" s="8">
        <v>46308</v>
      </c>
      <c r="B67" s="22">
        <f>SUMIF('Sales Log'!$A:$A,A67,'Sales Log'!$F:$F)</f>
        <v>0</v>
      </c>
      <c r="C67" s="22">
        <f>SUMIF('Sales Log'!$A:$A,A67,'Sales Log'!$G:$G)</f>
        <v>0</v>
      </c>
      <c r="D67" s="22">
        <f>SUMIF('Sales Log'!$A:$A,A67,'Sales Log'!$C:$C)</f>
        <v>0</v>
      </c>
      <c r="E67" s="22">
        <f>COUNTIF('Sales Log'!$A:$A,A67)</f>
        <v>0</v>
      </c>
      <c r="F67" s="22">
        <f t="shared" si="0"/>
        <v>0</v>
      </c>
    </row>
    <row r="68" spans="1:6" x14ac:dyDescent="0.25">
      <c r="A68" s="8">
        <v>46309</v>
      </c>
      <c r="B68" s="22">
        <f>SUMIF('Sales Log'!$A:$A,A68,'Sales Log'!$F:$F)</f>
        <v>0</v>
      </c>
      <c r="C68" s="22">
        <f>SUMIF('Sales Log'!$A:$A,A68,'Sales Log'!$G:$G)</f>
        <v>0</v>
      </c>
      <c r="D68" s="22">
        <f>SUMIF('Sales Log'!$A:$A,A68,'Sales Log'!$C:$C)</f>
        <v>0</v>
      </c>
      <c r="E68" s="22">
        <f>COUNTIF('Sales Log'!$A:$A,A68)</f>
        <v>0</v>
      </c>
      <c r="F68" s="22">
        <f t="shared" si="0"/>
        <v>0</v>
      </c>
    </row>
    <row r="69" spans="1:6" x14ac:dyDescent="0.25">
      <c r="A69" s="8">
        <v>46310</v>
      </c>
      <c r="B69" s="22">
        <f>SUMIF('Sales Log'!$A:$A,A69,'Sales Log'!$F:$F)</f>
        <v>0</v>
      </c>
      <c r="C69" s="22">
        <f>SUMIF('Sales Log'!$A:$A,A69,'Sales Log'!$G:$G)</f>
        <v>0</v>
      </c>
      <c r="D69" s="22">
        <f>SUMIF('Sales Log'!$A:$A,A69,'Sales Log'!$C:$C)</f>
        <v>0</v>
      </c>
      <c r="E69" s="22">
        <f>COUNTIF('Sales Log'!$A:$A,A69)</f>
        <v>0</v>
      </c>
      <c r="F69" s="22">
        <f t="shared" ref="F69:F132" si="1">IF(B69=0,0,C69/B69)</f>
        <v>0</v>
      </c>
    </row>
    <row r="70" spans="1:6" x14ac:dyDescent="0.25">
      <c r="A70" s="8">
        <v>46311</v>
      </c>
      <c r="B70" s="22">
        <f>SUMIF('Sales Log'!$A:$A,A70,'Sales Log'!$F:$F)</f>
        <v>0</v>
      </c>
      <c r="C70" s="22">
        <f>SUMIF('Sales Log'!$A:$A,A70,'Sales Log'!$G:$G)</f>
        <v>0</v>
      </c>
      <c r="D70" s="22">
        <f>SUMIF('Sales Log'!$A:$A,A70,'Sales Log'!$C:$C)</f>
        <v>0</v>
      </c>
      <c r="E70" s="22">
        <f>COUNTIF('Sales Log'!$A:$A,A70)</f>
        <v>0</v>
      </c>
      <c r="F70" s="22">
        <f t="shared" si="1"/>
        <v>0</v>
      </c>
    </row>
    <row r="71" spans="1:6" x14ac:dyDescent="0.25">
      <c r="A71" s="8">
        <v>46312</v>
      </c>
      <c r="B71" s="22">
        <f>SUMIF('Sales Log'!$A:$A,A71,'Sales Log'!$F:$F)</f>
        <v>0</v>
      </c>
      <c r="C71" s="22">
        <f>SUMIF('Sales Log'!$A:$A,A71,'Sales Log'!$G:$G)</f>
        <v>0</v>
      </c>
      <c r="D71" s="22">
        <f>SUMIF('Sales Log'!$A:$A,A71,'Sales Log'!$C:$C)</f>
        <v>0</v>
      </c>
      <c r="E71" s="22">
        <f>COUNTIF('Sales Log'!$A:$A,A71)</f>
        <v>0</v>
      </c>
      <c r="F71" s="22">
        <f t="shared" si="1"/>
        <v>0</v>
      </c>
    </row>
    <row r="72" spans="1:6" x14ac:dyDescent="0.25">
      <c r="A72" s="8">
        <v>46313</v>
      </c>
      <c r="B72" s="22">
        <f>SUMIF('Sales Log'!$A:$A,A72,'Sales Log'!$F:$F)</f>
        <v>0</v>
      </c>
      <c r="C72" s="22">
        <f>SUMIF('Sales Log'!$A:$A,A72,'Sales Log'!$G:$G)</f>
        <v>0</v>
      </c>
      <c r="D72" s="22">
        <f>SUMIF('Sales Log'!$A:$A,A72,'Sales Log'!$C:$C)</f>
        <v>0</v>
      </c>
      <c r="E72" s="22">
        <f>COUNTIF('Sales Log'!$A:$A,A72)</f>
        <v>0</v>
      </c>
      <c r="F72" s="22">
        <f t="shared" si="1"/>
        <v>0</v>
      </c>
    </row>
    <row r="73" spans="1:6" x14ac:dyDescent="0.25">
      <c r="A73" s="8">
        <v>46314</v>
      </c>
      <c r="B73" s="22">
        <f>SUMIF('Sales Log'!$A:$A,A73,'Sales Log'!$F:$F)</f>
        <v>0</v>
      </c>
      <c r="C73" s="22">
        <f>SUMIF('Sales Log'!$A:$A,A73,'Sales Log'!$G:$G)</f>
        <v>0</v>
      </c>
      <c r="D73" s="22">
        <f>SUMIF('Sales Log'!$A:$A,A73,'Sales Log'!$C:$C)</f>
        <v>0</v>
      </c>
      <c r="E73" s="22">
        <f>COUNTIF('Sales Log'!$A:$A,A73)</f>
        <v>0</v>
      </c>
      <c r="F73" s="22">
        <f t="shared" si="1"/>
        <v>0</v>
      </c>
    </row>
    <row r="74" spans="1:6" x14ac:dyDescent="0.25">
      <c r="A74" s="8">
        <v>46315</v>
      </c>
      <c r="B74" s="22">
        <f>SUMIF('Sales Log'!$A:$A,A74,'Sales Log'!$F:$F)</f>
        <v>0</v>
      </c>
      <c r="C74" s="22">
        <f>SUMIF('Sales Log'!$A:$A,A74,'Sales Log'!$G:$G)</f>
        <v>0</v>
      </c>
      <c r="D74" s="22">
        <f>SUMIF('Sales Log'!$A:$A,A74,'Sales Log'!$C:$C)</f>
        <v>0</v>
      </c>
      <c r="E74" s="22">
        <f>COUNTIF('Sales Log'!$A:$A,A74)</f>
        <v>0</v>
      </c>
      <c r="F74" s="22">
        <f t="shared" si="1"/>
        <v>0</v>
      </c>
    </row>
    <row r="75" spans="1:6" x14ac:dyDescent="0.25">
      <c r="A75" s="8">
        <v>46316</v>
      </c>
      <c r="B75" s="22">
        <f>SUMIF('Sales Log'!$A:$A,A75,'Sales Log'!$F:$F)</f>
        <v>0</v>
      </c>
      <c r="C75" s="22">
        <f>SUMIF('Sales Log'!$A:$A,A75,'Sales Log'!$G:$G)</f>
        <v>0</v>
      </c>
      <c r="D75" s="22">
        <f>SUMIF('Sales Log'!$A:$A,A75,'Sales Log'!$C:$C)</f>
        <v>0</v>
      </c>
      <c r="E75" s="22">
        <f>COUNTIF('Sales Log'!$A:$A,A75)</f>
        <v>0</v>
      </c>
      <c r="F75" s="22">
        <f t="shared" si="1"/>
        <v>0</v>
      </c>
    </row>
    <row r="76" spans="1:6" x14ac:dyDescent="0.25">
      <c r="A76" s="8">
        <v>46317</v>
      </c>
      <c r="B76" s="22">
        <f>SUMIF('Sales Log'!$A:$A,A76,'Sales Log'!$F:$F)</f>
        <v>0</v>
      </c>
      <c r="C76" s="22">
        <f>SUMIF('Sales Log'!$A:$A,A76,'Sales Log'!$G:$G)</f>
        <v>0</v>
      </c>
      <c r="D76" s="22">
        <f>SUMIF('Sales Log'!$A:$A,A76,'Sales Log'!$C:$C)</f>
        <v>0</v>
      </c>
      <c r="E76" s="22">
        <f>COUNTIF('Sales Log'!$A:$A,A76)</f>
        <v>0</v>
      </c>
      <c r="F76" s="22">
        <f t="shared" si="1"/>
        <v>0</v>
      </c>
    </row>
    <row r="77" spans="1:6" x14ac:dyDescent="0.25">
      <c r="A77" s="8">
        <v>46318</v>
      </c>
      <c r="B77" s="22">
        <f>SUMIF('Sales Log'!$A:$A,A77,'Sales Log'!$F:$F)</f>
        <v>0</v>
      </c>
      <c r="C77" s="22">
        <f>SUMIF('Sales Log'!$A:$A,A77,'Sales Log'!$G:$G)</f>
        <v>0</v>
      </c>
      <c r="D77" s="22">
        <f>SUMIF('Sales Log'!$A:$A,A77,'Sales Log'!$C:$C)</f>
        <v>0</v>
      </c>
      <c r="E77" s="22">
        <f>COUNTIF('Sales Log'!$A:$A,A77)</f>
        <v>0</v>
      </c>
      <c r="F77" s="22">
        <f t="shared" si="1"/>
        <v>0</v>
      </c>
    </row>
    <row r="78" spans="1:6" x14ac:dyDescent="0.25">
      <c r="A78" s="8">
        <v>46319</v>
      </c>
      <c r="B78" s="22">
        <f>SUMIF('Sales Log'!$A:$A,A78,'Sales Log'!$F:$F)</f>
        <v>0</v>
      </c>
      <c r="C78" s="22">
        <f>SUMIF('Sales Log'!$A:$A,A78,'Sales Log'!$G:$G)</f>
        <v>0</v>
      </c>
      <c r="D78" s="22">
        <f>SUMIF('Sales Log'!$A:$A,A78,'Sales Log'!$C:$C)</f>
        <v>0</v>
      </c>
      <c r="E78" s="22">
        <f>COUNTIF('Sales Log'!$A:$A,A78)</f>
        <v>0</v>
      </c>
      <c r="F78" s="22">
        <f t="shared" si="1"/>
        <v>0</v>
      </c>
    </row>
    <row r="79" spans="1:6" x14ac:dyDescent="0.25">
      <c r="A79" s="8">
        <v>46320</v>
      </c>
      <c r="B79" s="22">
        <f>SUMIF('Sales Log'!$A:$A,A79,'Sales Log'!$F:$F)</f>
        <v>0</v>
      </c>
      <c r="C79" s="22">
        <f>SUMIF('Sales Log'!$A:$A,A79,'Sales Log'!$G:$G)</f>
        <v>0</v>
      </c>
      <c r="D79" s="22">
        <f>SUMIF('Sales Log'!$A:$A,A79,'Sales Log'!$C:$C)</f>
        <v>0</v>
      </c>
      <c r="E79" s="22">
        <f>COUNTIF('Sales Log'!$A:$A,A79)</f>
        <v>0</v>
      </c>
      <c r="F79" s="22">
        <f t="shared" si="1"/>
        <v>0</v>
      </c>
    </row>
    <row r="80" spans="1:6" x14ac:dyDescent="0.25">
      <c r="A80" s="8">
        <v>46321</v>
      </c>
      <c r="B80" s="22">
        <f>SUMIF('Sales Log'!$A:$A,A80,'Sales Log'!$F:$F)</f>
        <v>0</v>
      </c>
      <c r="C80" s="22">
        <f>SUMIF('Sales Log'!$A:$A,A80,'Sales Log'!$G:$G)</f>
        <v>0</v>
      </c>
      <c r="D80" s="22">
        <f>SUMIF('Sales Log'!$A:$A,A80,'Sales Log'!$C:$C)</f>
        <v>0</v>
      </c>
      <c r="E80" s="22">
        <f>COUNTIF('Sales Log'!$A:$A,A80)</f>
        <v>0</v>
      </c>
      <c r="F80" s="22">
        <f t="shared" si="1"/>
        <v>0</v>
      </c>
    </row>
    <row r="81" spans="1:6" x14ac:dyDescent="0.25">
      <c r="A81" s="8">
        <v>46322</v>
      </c>
      <c r="B81" s="22">
        <f>SUMIF('Sales Log'!$A:$A,A81,'Sales Log'!$F:$F)</f>
        <v>0</v>
      </c>
      <c r="C81" s="22">
        <f>SUMIF('Sales Log'!$A:$A,A81,'Sales Log'!$G:$G)</f>
        <v>0</v>
      </c>
      <c r="D81" s="22">
        <f>SUMIF('Sales Log'!$A:$A,A81,'Sales Log'!$C:$C)</f>
        <v>0</v>
      </c>
      <c r="E81" s="22">
        <f>COUNTIF('Sales Log'!$A:$A,A81)</f>
        <v>0</v>
      </c>
      <c r="F81" s="22">
        <f t="shared" si="1"/>
        <v>0</v>
      </c>
    </row>
    <row r="82" spans="1:6" x14ac:dyDescent="0.25">
      <c r="A82" s="8">
        <v>46323</v>
      </c>
      <c r="B82" s="22">
        <f>SUMIF('Sales Log'!$A:$A,A82,'Sales Log'!$F:$F)</f>
        <v>0</v>
      </c>
      <c r="C82" s="22">
        <f>SUMIF('Sales Log'!$A:$A,A82,'Sales Log'!$G:$G)</f>
        <v>0</v>
      </c>
      <c r="D82" s="22">
        <f>SUMIF('Sales Log'!$A:$A,A82,'Sales Log'!$C:$C)</f>
        <v>0</v>
      </c>
      <c r="E82" s="22">
        <f>COUNTIF('Sales Log'!$A:$A,A82)</f>
        <v>0</v>
      </c>
      <c r="F82" s="22">
        <f t="shared" si="1"/>
        <v>0</v>
      </c>
    </row>
    <row r="83" spans="1:6" x14ac:dyDescent="0.25">
      <c r="A83" s="8">
        <v>46324</v>
      </c>
      <c r="B83" s="22">
        <f>SUMIF('Sales Log'!$A:$A,A83,'Sales Log'!$F:$F)</f>
        <v>0</v>
      </c>
      <c r="C83" s="22">
        <f>SUMIF('Sales Log'!$A:$A,A83,'Sales Log'!$G:$G)</f>
        <v>0</v>
      </c>
      <c r="D83" s="22">
        <f>SUMIF('Sales Log'!$A:$A,A83,'Sales Log'!$C:$C)</f>
        <v>0</v>
      </c>
      <c r="E83" s="22">
        <f>COUNTIF('Sales Log'!$A:$A,A83)</f>
        <v>0</v>
      </c>
      <c r="F83" s="22">
        <f t="shared" si="1"/>
        <v>0</v>
      </c>
    </row>
    <row r="84" spans="1:6" x14ac:dyDescent="0.25">
      <c r="A84" s="8">
        <v>46325</v>
      </c>
      <c r="B84" s="22">
        <f>SUMIF('Sales Log'!$A:$A,A84,'Sales Log'!$F:$F)</f>
        <v>0</v>
      </c>
      <c r="C84" s="22">
        <f>SUMIF('Sales Log'!$A:$A,A84,'Sales Log'!$G:$G)</f>
        <v>0</v>
      </c>
      <c r="D84" s="22">
        <f>SUMIF('Sales Log'!$A:$A,A84,'Sales Log'!$C:$C)</f>
        <v>0</v>
      </c>
      <c r="E84" s="22">
        <f>COUNTIF('Sales Log'!$A:$A,A84)</f>
        <v>0</v>
      </c>
      <c r="F84" s="22">
        <f t="shared" si="1"/>
        <v>0</v>
      </c>
    </row>
    <row r="85" spans="1:6" x14ac:dyDescent="0.25">
      <c r="A85" s="8">
        <v>46326</v>
      </c>
      <c r="B85" s="22">
        <f>SUMIF('Sales Log'!$A:$A,A85,'Sales Log'!$F:$F)</f>
        <v>0</v>
      </c>
      <c r="C85" s="22">
        <f>SUMIF('Sales Log'!$A:$A,A85,'Sales Log'!$G:$G)</f>
        <v>0</v>
      </c>
      <c r="D85" s="22">
        <f>SUMIF('Sales Log'!$A:$A,A85,'Sales Log'!$C:$C)</f>
        <v>0</v>
      </c>
      <c r="E85" s="22">
        <f>COUNTIF('Sales Log'!$A:$A,A85)</f>
        <v>0</v>
      </c>
      <c r="F85" s="22">
        <f t="shared" si="1"/>
        <v>0</v>
      </c>
    </row>
    <row r="86" spans="1:6" x14ac:dyDescent="0.25">
      <c r="A86" s="8">
        <v>46327</v>
      </c>
      <c r="B86" s="22">
        <f>SUMIF('Sales Log'!$A:$A,A86,'Sales Log'!$F:$F)</f>
        <v>0</v>
      </c>
      <c r="C86" s="22">
        <f>SUMIF('Sales Log'!$A:$A,A86,'Sales Log'!$G:$G)</f>
        <v>0</v>
      </c>
      <c r="D86" s="22">
        <f>SUMIF('Sales Log'!$A:$A,A86,'Sales Log'!$C:$C)</f>
        <v>0</v>
      </c>
      <c r="E86" s="22">
        <f>COUNTIF('Sales Log'!$A:$A,A86)</f>
        <v>0</v>
      </c>
      <c r="F86" s="22">
        <f t="shared" si="1"/>
        <v>0</v>
      </c>
    </row>
    <row r="87" spans="1:6" x14ac:dyDescent="0.25">
      <c r="A87" s="8">
        <v>46328</v>
      </c>
      <c r="B87" s="22">
        <f>SUMIF('Sales Log'!$A:$A,A87,'Sales Log'!$F:$F)</f>
        <v>0</v>
      </c>
      <c r="C87" s="22">
        <f>SUMIF('Sales Log'!$A:$A,A87,'Sales Log'!$G:$G)</f>
        <v>0</v>
      </c>
      <c r="D87" s="22">
        <f>SUMIF('Sales Log'!$A:$A,A87,'Sales Log'!$C:$C)</f>
        <v>0</v>
      </c>
      <c r="E87" s="22">
        <f>COUNTIF('Sales Log'!$A:$A,A87)</f>
        <v>0</v>
      </c>
      <c r="F87" s="22">
        <f t="shared" si="1"/>
        <v>0</v>
      </c>
    </row>
    <row r="88" spans="1:6" x14ac:dyDescent="0.25">
      <c r="A88" s="8">
        <v>46329</v>
      </c>
      <c r="B88" s="22">
        <f>SUMIF('Sales Log'!$A:$A,A88,'Sales Log'!$F:$F)</f>
        <v>0</v>
      </c>
      <c r="C88" s="22">
        <f>SUMIF('Sales Log'!$A:$A,A88,'Sales Log'!$G:$G)</f>
        <v>0</v>
      </c>
      <c r="D88" s="22">
        <f>SUMIF('Sales Log'!$A:$A,A88,'Sales Log'!$C:$C)</f>
        <v>0</v>
      </c>
      <c r="E88" s="22">
        <f>COUNTIF('Sales Log'!$A:$A,A88)</f>
        <v>0</v>
      </c>
      <c r="F88" s="22">
        <f t="shared" si="1"/>
        <v>0</v>
      </c>
    </row>
    <row r="89" spans="1:6" x14ac:dyDescent="0.25">
      <c r="A89" s="8">
        <v>46330</v>
      </c>
      <c r="B89" s="22">
        <f>SUMIF('Sales Log'!$A:$A,A89,'Sales Log'!$F:$F)</f>
        <v>0</v>
      </c>
      <c r="C89" s="22">
        <f>SUMIF('Sales Log'!$A:$A,A89,'Sales Log'!$G:$G)</f>
        <v>0</v>
      </c>
      <c r="D89" s="22">
        <f>SUMIF('Sales Log'!$A:$A,A89,'Sales Log'!$C:$C)</f>
        <v>0</v>
      </c>
      <c r="E89" s="22">
        <f>COUNTIF('Sales Log'!$A:$A,A89)</f>
        <v>0</v>
      </c>
      <c r="F89" s="22">
        <f t="shared" si="1"/>
        <v>0</v>
      </c>
    </row>
    <row r="90" spans="1:6" x14ac:dyDescent="0.25">
      <c r="A90" s="8">
        <v>46331</v>
      </c>
      <c r="B90" s="22">
        <f>SUMIF('Sales Log'!$A:$A,A90,'Sales Log'!$F:$F)</f>
        <v>0</v>
      </c>
      <c r="C90" s="22">
        <f>SUMIF('Sales Log'!$A:$A,A90,'Sales Log'!$G:$G)</f>
        <v>0</v>
      </c>
      <c r="D90" s="22">
        <f>SUMIF('Sales Log'!$A:$A,A90,'Sales Log'!$C:$C)</f>
        <v>0</v>
      </c>
      <c r="E90" s="22">
        <f>COUNTIF('Sales Log'!$A:$A,A90)</f>
        <v>0</v>
      </c>
      <c r="F90" s="22">
        <f t="shared" si="1"/>
        <v>0</v>
      </c>
    </row>
    <row r="91" spans="1:6" x14ac:dyDescent="0.25">
      <c r="A91" s="8">
        <v>46332</v>
      </c>
      <c r="B91" s="22">
        <f>SUMIF('Sales Log'!$A:$A,A91,'Sales Log'!$F:$F)</f>
        <v>0</v>
      </c>
      <c r="C91" s="22">
        <f>SUMIF('Sales Log'!$A:$A,A91,'Sales Log'!$G:$G)</f>
        <v>0</v>
      </c>
      <c r="D91" s="22">
        <f>SUMIF('Sales Log'!$A:$A,A91,'Sales Log'!$C:$C)</f>
        <v>0</v>
      </c>
      <c r="E91" s="22">
        <f>COUNTIF('Sales Log'!$A:$A,A91)</f>
        <v>0</v>
      </c>
      <c r="F91" s="22">
        <f t="shared" si="1"/>
        <v>0</v>
      </c>
    </row>
    <row r="92" spans="1:6" x14ac:dyDescent="0.25">
      <c r="A92" s="8">
        <v>46333</v>
      </c>
      <c r="B92" s="22">
        <f>SUMIF('Sales Log'!$A:$A,A92,'Sales Log'!$F:$F)</f>
        <v>0</v>
      </c>
      <c r="C92" s="22">
        <f>SUMIF('Sales Log'!$A:$A,A92,'Sales Log'!$G:$G)</f>
        <v>0</v>
      </c>
      <c r="D92" s="22">
        <f>SUMIF('Sales Log'!$A:$A,A92,'Sales Log'!$C:$C)</f>
        <v>0</v>
      </c>
      <c r="E92" s="22">
        <f>COUNTIF('Sales Log'!$A:$A,A92)</f>
        <v>0</v>
      </c>
      <c r="F92" s="22">
        <f t="shared" si="1"/>
        <v>0</v>
      </c>
    </row>
    <row r="93" spans="1:6" x14ac:dyDescent="0.25">
      <c r="A93" s="8">
        <v>46334</v>
      </c>
      <c r="B93" s="22">
        <f>SUMIF('Sales Log'!$A:$A,A93,'Sales Log'!$F:$F)</f>
        <v>0</v>
      </c>
      <c r="C93" s="22">
        <f>SUMIF('Sales Log'!$A:$A,A93,'Sales Log'!$G:$G)</f>
        <v>0</v>
      </c>
      <c r="D93" s="22">
        <f>SUMIF('Sales Log'!$A:$A,A93,'Sales Log'!$C:$C)</f>
        <v>0</v>
      </c>
      <c r="E93" s="22">
        <f>COUNTIF('Sales Log'!$A:$A,A93)</f>
        <v>0</v>
      </c>
      <c r="F93" s="22">
        <f t="shared" si="1"/>
        <v>0</v>
      </c>
    </row>
    <row r="94" spans="1:6" x14ac:dyDescent="0.25">
      <c r="A94" s="8">
        <v>46335</v>
      </c>
      <c r="B94" s="22">
        <f>SUMIF('Sales Log'!$A:$A,A94,'Sales Log'!$F:$F)</f>
        <v>0</v>
      </c>
      <c r="C94" s="22">
        <f>SUMIF('Sales Log'!$A:$A,A94,'Sales Log'!$G:$G)</f>
        <v>0</v>
      </c>
      <c r="D94" s="22">
        <f>SUMIF('Sales Log'!$A:$A,A94,'Sales Log'!$C:$C)</f>
        <v>0</v>
      </c>
      <c r="E94" s="22">
        <f>COUNTIF('Sales Log'!$A:$A,A94)</f>
        <v>0</v>
      </c>
      <c r="F94" s="22">
        <f t="shared" si="1"/>
        <v>0</v>
      </c>
    </row>
    <row r="95" spans="1:6" x14ac:dyDescent="0.25">
      <c r="A95" s="8">
        <v>46336</v>
      </c>
      <c r="B95" s="22">
        <f>SUMIF('Sales Log'!$A:$A,A95,'Sales Log'!$F:$F)</f>
        <v>0</v>
      </c>
      <c r="C95" s="22">
        <f>SUMIF('Sales Log'!$A:$A,A95,'Sales Log'!$G:$G)</f>
        <v>0</v>
      </c>
      <c r="D95" s="22">
        <f>SUMIF('Sales Log'!$A:$A,A95,'Sales Log'!$C:$C)</f>
        <v>0</v>
      </c>
      <c r="E95" s="22">
        <f>COUNTIF('Sales Log'!$A:$A,A95)</f>
        <v>0</v>
      </c>
      <c r="F95" s="22">
        <f t="shared" si="1"/>
        <v>0</v>
      </c>
    </row>
    <row r="96" spans="1:6" x14ac:dyDescent="0.25">
      <c r="A96" s="8">
        <v>46337</v>
      </c>
      <c r="B96" s="22">
        <f>SUMIF('Sales Log'!$A:$A,A96,'Sales Log'!$F:$F)</f>
        <v>0</v>
      </c>
      <c r="C96" s="22">
        <f>SUMIF('Sales Log'!$A:$A,A96,'Sales Log'!$G:$G)</f>
        <v>0</v>
      </c>
      <c r="D96" s="22">
        <f>SUMIF('Sales Log'!$A:$A,A96,'Sales Log'!$C:$C)</f>
        <v>0</v>
      </c>
      <c r="E96" s="22">
        <f>COUNTIF('Sales Log'!$A:$A,A96)</f>
        <v>0</v>
      </c>
      <c r="F96" s="22">
        <f t="shared" si="1"/>
        <v>0</v>
      </c>
    </row>
    <row r="97" spans="1:6" x14ac:dyDescent="0.25">
      <c r="A97" s="8">
        <v>46338</v>
      </c>
      <c r="B97" s="22">
        <f>SUMIF('Sales Log'!$A:$A,A97,'Sales Log'!$F:$F)</f>
        <v>0</v>
      </c>
      <c r="C97" s="22">
        <f>SUMIF('Sales Log'!$A:$A,A97,'Sales Log'!$G:$G)</f>
        <v>0</v>
      </c>
      <c r="D97" s="22">
        <f>SUMIF('Sales Log'!$A:$A,A97,'Sales Log'!$C:$C)</f>
        <v>0</v>
      </c>
      <c r="E97" s="22">
        <f>COUNTIF('Sales Log'!$A:$A,A97)</f>
        <v>0</v>
      </c>
      <c r="F97" s="22">
        <f t="shared" si="1"/>
        <v>0</v>
      </c>
    </row>
    <row r="98" spans="1:6" x14ac:dyDescent="0.25">
      <c r="A98" s="8">
        <v>46339</v>
      </c>
      <c r="B98" s="22">
        <f>SUMIF('Sales Log'!$A:$A,A98,'Sales Log'!$F:$F)</f>
        <v>0</v>
      </c>
      <c r="C98" s="22">
        <f>SUMIF('Sales Log'!$A:$A,A98,'Sales Log'!$G:$G)</f>
        <v>0</v>
      </c>
      <c r="D98" s="22">
        <f>SUMIF('Sales Log'!$A:$A,A98,'Sales Log'!$C:$C)</f>
        <v>0</v>
      </c>
      <c r="E98" s="22">
        <f>COUNTIF('Sales Log'!$A:$A,A98)</f>
        <v>0</v>
      </c>
      <c r="F98" s="22">
        <f t="shared" si="1"/>
        <v>0</v>
      </c>
    </row>
    <row r="99" spans="1:6" x14ac:dyDescent="0.25">
      <c r="A99" s="8">
        <v>46340</v>
      </c>
      <c r="B99" s="22">
        <f>SUMIF('Sales Log'!$A:$A,A99,'Sales Log'!$F:$F)</f>
        <v>0</v>
      </c>
      <c r="C99" s="22">
        <f>SUMIF('Sales Log'!$A:$A,A99,'Sales Log'!$G:$G)</f>
        <v>0</v>
      </c>
      <c r="D99" s="22">
        <f>SUMIF('Sales Log'!$A:$A,A99,'Sales Log'!$C:$C)</f>
        <v>0</v>
      </c>
      <c r="E99" s="22">
        <f>COUNTIF('Sales Log'!$A:$A,A99)</f>
        <v>0</v>
      </c>
      <c r="F99" s="22">
        <f t="shared" si="1"/>
        <v>0</v>
      </c>
    </row>
    <row r="100" spans="1:6" x14ac:dyDescent="0.25">
      <c r="A100" s="8">
        <v>46341</v>
      </c>
      <c r="B100" s="22">
        <f>SUMIF('Sales Log'!$A:$A,A100,'Sales Log'!$F:$F)</f>
        <v>0</v>
      </c>
      <c r="C100" s="22">
        <f>SUMIF('Sales Log'!$A:$A,A100,'Sales Log'!$G:$G)</f>
        <v>0</v>
      </c>
      <c r="D100" s="22">
        <f>SUMIF('Sales Log'!$A:$A,A100,'Sales Log'!$C:$C)</f>
        <v>0</v>
      </c>
      <c r="E100" s="22">
        <f>COUNTIF('Sales Log'!$A:$A,A100)</f>
        <v>0</v>
      </c>
      <c r="F100" s="22">
        <f t="shared" si="1"/>
        <v>0</v>
      </c>
    </row>
    <row r="101" spans="1:6" x14ac:dyDescent="0.25">
      <c r="A101" s="8">
        <v>46342</v>
      </c>
      <c r="B101" s="22">
        <f>SUMIF('Sales Log'!$A:$A,A101,'Sales Log'!$F:$F)</f>
        <v>0</v>
      </c>
      <c r="C101" s="22">
        <f>SUMIF('Sales Log'!$A:$A,A101,'Sales Log'!$G:$G)</f>
        <v>0</v>
      </c>
      <c r="D101" s="22">
        <f>SUMIF('Sales Log'!$A:$A,A101,'Sales Log'!$C:$C)</f>
        <v>0</v>
      </c>
      <c r="E101" s="22">
        <f>COUNTIF('Sales Log'!$A:$A,A101)</f>
        <v>0</v>
      </c>
      <c r="F101" s="22">
        <f t="shared" si="1"/>
        <v>0</v>
      </c>
    </row>
    <row r="102" spans="1:6" x14ac:dyDescent="0.25">
      <c r="A102" s="8">
        <v>46343</v>
      </c>
      <c r="B102" s="22">
        <f>SUMIF('Sales Log'!$A:$A,A102,'Sales Log'!$F:$F)</f>
        <v>0</v>
      </c>
      <c r="C102" s="22">
        <f>SUMIF('Sales Log'!$A:$A,A102,'Sales Log'!$G:$G)</f>
        <v>0</v>
      </c>
      <c r="D102" s="22">
        <f>SUMIF('Sales Log'!$A:$A,A102,'Sales Log'!$C:$C)</f>
        <v>0</v>
      </c>
      <c r="E102" s="22">
        <f>COUNTIF('Sales Log'!$A:$A,A102)</f>
        <v>0</v>
      </c>
      <c r="F102" s="22">
        <f t="shared" si="1"/>
        <v>0</v>
      </c>
    </row>
    <row r="103" spans="1:6" x14ac:dyDescent="0.25">
      <c r="A103" s="8">
        <v>46344</v>
      </c>
      <c r="B103" s="22">
        <f>SUMIF('Sales Log'!$A:$A,A103,'Sales Log'!$F:$F)</f>
        <v>0</v>
      </c>
      <c r="C103" s="22">
        <f>SUMIF('Sales Log'!$A:$A,A103,'Sales Log'!$G:$G)</f>
        <v>0</v>
      </c>
      <c r="D103" s="22">
        <f>SUMIF('Sales Log'!$A:$A,A103,'Sales Log'!$C:$C)</f>
        <v>0</v>
      </c>
      <c r="E103" s="22">
        <f>COUNTIF('Sales Log'!$A:$A,A103)</f>
        <v>0</v>
      </c>
      <c r="F103" s="22">
        <f t="shared" si="1"/>
        <v>0</v>
      </c>
    </row>
    <row r="104" spans="1:6" x14ac:dyDescent="0.25">
      <c r="A104" s="8">
        <v>46345</v>
      </c>
      <c r="B104" s="22">
        <f>SUMIF('Sales Log'!$A:$A,A104,'Sales Log'!$F:$F)</f>
        <v>0</v>
      </c>
      <c r="C104" s="22">
        <f>SUMIF('Sales Log'!$A:$A,A104,'Sales Log'!$G:$G)</f>
        <v>0</v>
      </c>
      <c r="D104" s="22">
        <f>SUMIF('Sales Log'!$A:$A,A104,'Sales Log'!$C:$C)</f>
        <v>0</v>
      </c>
      <c r="E104" s="22">
        <f>COUNTIF('Sales Log'!$A:$A,A104)</f>
        <v>0</v>
      </c>
      <c r="F104" s="22">
        <f t="shared" si="1"/>
        <v>0</v>
      </c>
    </row>
    <row r="105" spans="1:6" x14ac:dyDescent="0.25">
      <c r="A105" s="8">
        <v>46346</v>
      </c>
      <c r="B105" s="22">
        <f>SUMIF('Sales Log'!$A:$A,A105,'Sales Log'!$F:$F)</f>
        <v>0</v>
      </c>
      <c r="C105" s="22">
        <f>SUMIF('Sales Log'!$A:$A,A105,'Sales Log'!$G:$G)</f>
        <v>0</v>
      </c>
      <c r="D105" s="22">
        <f>SUMIF('Sales Log'!$A:$A,A105,'Sales Log'!$C:$C)</f>
        <v>0</v>
      </c>
      <c r="E105" s="22">
        <f>COUNTIF('Sales Log'!$A:$A,A105)</f>
        <v>0</v>
      </c>
      <c r="F105" s="22">
        <f t="shared" si="1"/>
        <v>0</v>
      </c>
    </row>
    <row r="106" spans="1:6" x14ac:dyDescent="0.25">
      <c r="A106" s="8">
        <v>46347</v>
      </c>
      <c r="B106" s="22">
        <f>SUMIF('Sales Log'!$A:$A,A106,'Sales Log'!$F:$F)</f>
        <v>0</v>
      </c>
      <c r="C106" s="22">
        <f>SUMIF('Sales Log'!$A:$A,A106,'Sales Log'!$G:$G)</f>
        <v>0</v>
      </c>
      <c r="D106" s="22">
        <f>SUMIF('Sales Log'!$A:$A,A106,'Sales Log'!$C:$C)</f>
        <v>0</v>
      </c>
      <c r="E106" s="22">
        <f>COUNTIF('Sales Log'!$A:$A,A106)</f>
        <v>0</v>
      </c>
      <c r="F106" s="22">
        <f t="shared" si="1"/>
        <v>0</v>
      </c>
    </row>
    <row r="107" spans="1:6" x14ac:dyDescent="0.25">
      <c r="A107" s="8">
        <v>46348</v>
      </c>
      <c r="B107" s="22">
        <f>SUMIF('Sales Log'!$A:$A,A107,'Sales Log'!$F:$F)</f>
        <v>0</v>
      </c>
      <c r="C107" s="22">
        <f>SUMIF('Sales Log'!$A:$A,A107,'Sales Log'!$G:$G)</f>
        <v>0</v>
      </c>
      <c r="D107" s="22">
        <f>SUMIF('Sales Log'!$A:$A,A107,'Sales Log'!$C:$C)</f>
        <v>0</v>
      </c>
      <c r="E107" s="22">
        <f>COUNTIF('Sales Log'!$A:$A,A107)</f>
        <v>0</v>
      </c>
      <c r="F107" s="22">
        <f t="shared" si="1"/>
        <v>0</v>
      </c>
    </row>
    <row r="108" spans="1:6" x14ac:dyDescent="0.25">
      <c r="A108" s="8">
        <v>46349</v>
      </c>
      <c r="B108" s="22">
        <f>SUMIF('Sales Log'!$A:$A,A108,'Sales Log'!$F:$F)</f>
        <v>0</v>
      </c>
      <c r="C108" s="22">
        <f>SUMIF('Sales Log'!$A:$A,A108,'Sales Log'!$G:$G)</f>
        <v>0</v>
      </c>
      <c r="D108" s="22">
        <f>SUMIF('Sales Log'!$A:$A,A108,'Sales Log'!$C:$C)</f>
        <v>0</v>
      </c>
      <c r="E108" s="22">
        <f>COUNTIF('Sales Log'!$A:$A,A108)</f>
        <v>0</v>
      </c>
      <c r="F108" s="22">
        <f t="shared" si="1"/>
        <v>0</v>
      </c>
    </row>
    <row r="109" spans="1:6" x14ac:dyDescent="0.25">
      <c r="A109" s="8">
        <v>46350</v>
      </c>
      <c r="B109" s="22">
        <f>SUMIF('Sales Log'!$A:$A,A109,'Sales Log'!$F:$F)</f>
        <v>0</v>
      </c>
      <c r="C109" s="22">
        <f>SUMIF('Sales Log'!$A:$A,A109,'Sales Log'!$G:$G)</f>
        <v>0</v>
      </c>
      <c r="D109" s="22">
        <f>SUMIF('Sales Log'!$A:$A,A109,'Sales Log'!$C:$C)</f>
        <v>0</v>
      </c>
      <c r="E109" s="22">
        <f>COUNTIF('Sales Log'!$A:$A,A109)</f>
        <v>0</v>
      </c>
      <c r="F109" s="22">
        <f t="shared" si="1"/>
        <v>0</v>
      </c>
    </row>
    <row r="110" spans="1:6" x14ac:dyDescent="0.25">
      <c r="A110" s="8">
        <v>46351</v>
      </c>
      <c r="B110" s="22">
        <f>SUMIF('Sales Log'!$A:$A,A110,'Sales Log'!$F:$F)</f>
        <v>0</v>
      </c>
      <c r="C110" s="22">
        <f>SUMIF('Sales Log'!$A:$A,A110,'Sales Log'!$G:$G)</f>
        <v>0</v>
      </c>
      <c r="D110" s="22">
        <f>SUMIF('Sales Log'!$A:$A,A110,'Sales Log'!$C:$C)</f>
        <v>0</v>
      </c>
      <c r="E110" s="22">
        <f>COUNTIF('Sales Log'!$A:$A,A110)</f>
        <v>0</v>
      </c>
      <c r="F110" s="22">
        <f t="shared" si="1"/>
        <v>0</v>
      </c>
    </row>
    <row r="111" spans="1:6" x14ac:dyDescent="0.25">
      <c r="A111" s="8">
        <v>46352</v>
      </c>
      <c r="B111" s="22">
        <f>SUMIF('Sales Log'!$A:$A,A111,'Sales Log'!$F:$F)</f>
        <v>0</v>
      </c>
      <c r="C111" s="22">
        <f>SUMIF('Sales Log'!$A:$A,A111,'Sales Log'!$G:$G)</f>
        <v>0</v>
      </c>
      <c r="D111" s="22">
        <f>SUMIF('Sales Log'!$A:$A,A111,'Sales Log'!$C:$C)</f>
        <v>0</v>
      </c>
      <c r="E111" s="22">
        <f>COUNTIF('Sales Log'!$A:$A,A111)</f>
        <v>0</v>
      </c>
      <c r="F111" s="22">
        <f t="shared" si="1"/>
        <v>0</v>
      </c>
    </row>
    <row r="112" spans="1:6" x14ac:dyDescent="0.25">
      <c r="A112" s="8">
        <v>46353</v>
      </c>
      <c r="B112" s="22">
        <f>SUMIF('Sales Log'!$A:$A,A112,'Sales Log'!$F:$F)</f>
        <v>0</v>
      </c>
      <c r="C112" s="22">
        <f>SUMIF('Sales Log'!$A:$A,A112,'Sales Log'!$G:$G)</f>
        <v>0</v>
      </c>
      <c r="D112" s="22">
        <f>SUMIF('Sales Log'!$A:$A,A112,'Sales Log'!$C:$C)</f>
        <v>0</v>
      </c>
      <c r="E112" s="22">
        <f>COUNTIF('Sales Log'!$A:$A,A112)</f>
        <v>0</v>
      </c>
      <c r="F112" s="22">
        <f t="shared" si="1"/>
        <v>0</v>
      </c>
    </row>
    <row r="113" spans="1:6" x14ac:dyDescent="0.25">
      <c r="A113" s="8">
        <v>46354</v>
      </c>
      <c r="B113" s="22">
        <f>SUMIF('Sales Log'!$A:$A,A113,'Sales Log'!$F:$F)</f>
        <v>0</v>
      </c>
      <c r="C113" s="22">
        <f>SUMIF('Sales Log'!$A:$A,A113,'Sales Log'!$G:$G)</f>
        <v>0</v>
      </c>
      <c r="D113" s="22">
        <f>SUMIF('Sales Log'!$A:$A,A113,'Sales Log'!$C:$C)</f>
        <v>0</v>
      </c>
      <c r="E113" s="22">
        <f>COUNTIF('Sales Log'!$A:$A,A113)</f>
        <v>0</v>
      </c>
      <c r="F113" s="22">
        <f t="shared" si="1"/>
        <v>0</v>
      </c>
    </row>
    <row r="114" spans="1:6" x14ac:dyDescent="0.25">
      <c r="A114" s="8">
        <v>46355</v>
      </c>
      <c r="B114" s="22">
        <f>SUMIF('Sales Log'!$A:$A,A114,'Sales Log'!$F:$F)</f>
        <v>0</v>
      </c>
      <c r="C114" s="22">
        <f>SUMIF('Sales Log'!$A:$A,A114,'Sales Log'!$G:$G)</f>
        <v>0</v>
      </c>
      <c r="D114" s="22">
        <f>SUMIF('Sales Log'!$A:$A,A114,'Sales Log'!$C:$C)</f>
        <v>0</v>
      </c>
      <c r="E114" s="22">
        <f>COUNTIF('Sales Log'!$A:$A,A114)</f>
        <v>0</v>
      </c>
      <c r="F114" s="22">
        <f t="shared" si="1"/>
        <v>0</v>
      </c>
    </row>
    <row r="115" spans="1:6" x14ac:dyDescent="0.25">
      <c r="A115" s="8">
        <v>46356</v>
      </c>
      <c r="B115" s="22">
        <f>SUMIF('Sales Log'!$A:$A,A115,'Sales Log'!$F:$F)</f>
        <v>0</v>
      </c>
      <c r="C115" s="22">
        <f>SUMIF('Sales Log'!$A:$A,A115,'Sales Log'!$G:$G)</f>
        <v>0</v>
      </c>
      <c r="D115" s="22">
        <f>SUMIF('Sales Log'!$A:$A,A115,'Sales Log'!$C:$C)</f>
        <v>0</v>
      </c>
      <c r="E115" s="22">
        <f>COUNTIF('Sales Log'!$A:$A,A115)</f>
        <v>0</v>
      </c>
      <c r="F115" s="22">
        <f t="shared" si="1"/>
        <v>0</v>
      </c>
    </row>
    <row r="116" spans="1:6" x14ac:dyDescent="0.25">
      <c r="A116" s="8">
        <v>46357</v>
      </c>
      <c r="B116" s="22">
        <f>SUMIF('Sales Log'!$A:$A,A116,'Sales Log'!$F:$F)</f>
        <v>0</v>
      </c>
      <c r="C116" s="22">
        <f>SUMIF('Sales Log'!$A:$A,A116,'Sales Log'!$G:$G)</f>
        <v>0</v>
      </c>
      <c r="D116" s="22">
        <f>SUMIF('Sales Log'!$A:$A,A116,'Sales Log'!$C:$C)</f>
        <v>0</v>
      </c>
      <c r="E116" s="22">
        <f>COUNTIF('Sales Log'!$A:$A,A116)</f>
        <v>0</v>
      </c>
      <c r="F116" s="22">
        <f t="shared" si="1"/>
        <v>0</v>
      </c>
    </row>
    <row r="117" spans="1:6" x14ac:dyDescent="0.25">
      <c r="A117" s="8">
        <v>46358</v>
      </c>
      <c r="B117" s="22">
        <f>SUMIF('Sales Log'!$A:$A,A117,'Sales Log'!$F:$F)</f>
        <v>0</v>
      </c>
      <c r="C117" s="22">
        <f>SUMIF('Sales Log'!$A:$A,A117,'Sales Log'!$G:$G)</f>
        <v>0</v>
      </c>
      <c r="D117" s="22">
        <f>SUMIF('Sales Log'!$A:$A,A117,'Sales Log'!$C:$C)</f>
        <v>0</v>
      </c>
      <c r="E117" s="22">
        <f>COUNTIF('Sales Log'!$A:$A,A117)</f>
        <v>0</v>
      </c>
      <c r="F117" s="22">
        <f t="shared" si="1"/>
        <v>0</v>
      </c>
    </row>
    <row r="118" spans="1:6" x14ac:dyDescent="0.25">
      <c r="A118" s="8">
        <v>46359</v>
      </c>
      <c r="B118" s="22">
        <f>SUMIF('Sales Log'!$A:$A,A118,'Sales Log'!$F:$F)</f>
        <v>0</v>
      </c>
      <c r="C118" s="22">
        <f>SUMIF('Sales Log'!$A:$A,A118,'Sales Log'!$G:$G)</f>
        <v>0</v>
      </c>
      <c r="D118" s="22">
        <f>SUMIF('Sales Log'!$A:$A,A118,'Sales Log'!$C:$C)</f>
        <v>0</v>
      </c>
      <c r="E118" s="22">
        <f>COUNTIF('Sales Log'!$A:$A,A118)</f>
        <v>0</v>
      </c>
      <c r="F118" s="22">
        <f t="shared" si="1"/>
        <v>0</v>
      </c>
    </row>
    <row r="119" spans="1:6" x14ac:dyDescent="0.25">
      <c r="A119" s="8">
        <v>46360</v>
      </c>
      <c r="B119" s="22">
        <f>SUMIF('Sales Log'!$A:$A,A119,'Sales Log'!$F:$F)</f>
        <v>0</v>
      </c>
      <c r="C119" s="22">
        <f>SUMIF('Sales Log'!$A:$A,A119,'Sales Log'!$G:$G)</f>
        <v>0</v>
      </c>
      <c r="D119" s="22">
        <f>SUMIF('Sales Log'!$A:$A,A119,'Sales Log'!$C:$C)</f>
        <v>0</v>
      </c>
      <c r="E119" s="22">
        <f>COUNTIF('Sales Log'!$A:$A,A119)</f>
        <v>0</v>
      </c>
      <c r="F119" s="22">
        <f t="shared" si="1"/>
        <v>0</v>
      </c>
    </row>
    <row r="120" spans="1:6" x14ac:dyDescent="0.25">
      <c r="A120" s="8">
        <v>46361</v>
      </c>
      <c r="B120" s="22">
        <f>SUMIF('Sales Log'!$A:$A,A120,'Sales Log'!$F:$F)</f>
        <v>0</v>
      </c>
      <c r="C120" s="22">
        <f>SUMIF('Sales Log'!$A:$A,A120,'Sales Log'!$G:$G)</f>
        <v>0</v>
      </c>
      <c r="D120" s="22">
        <f>SUMIF('Sales Log'!$A:$A,A120,'Sales Log'!$C:$C)</f>
        <v>0</v>
      </c>
      <c r="E120" s="22">
        <f>COUNTIF('Sales Log'!$A:$A,A120)</f>
        <v>0</v>
      </c>
      <c r="F120" s="22">
        <f t="shared" si="1"/>
        <v>0</v>
      </c>
    </row>
    <row r="121" spans="1:6" x14ac:dyDescent="0.25">
      <c r="A121" s="8">
        <v>46362</v>
      </c>
      <c r="B121" s="22">
        <f>SUMIF('Sales Log'!$A:$A,A121,'Sales Log'!$F:$F)</f>
        <v>0</v>
      </c>
      <c r="C121" s="22">
        <f>SUMIF('Sales Log'!$A:$A,A121,'Sales Log'!$G:$G)</f>
        <v>0</v>
      </c>
      <c r="D121" s="22">
        <f>SUMIF('Sales Log'!$A:$A,A121,'Sales Log'!$C:$C)</f>
        <v>0</v>
      </c>
      <c r="E121" s="22">
        <f>COUNTIF('Sales Log'!$A:$A,A121)</f>
        <v>0</v>
      </c>
      <c r="F121" s="22">
        <f t="shared" si="1"/>
        <v>0</v>
      </c>
    </row>
    <row r="122" spans="1:6" x14ac:dyDescent="0.25">
      <c r="A122" s="8">
        <v>46363</v>
      </c>
      <c r="B122" s="22">
        <f>SUMIF('Sales Log'!$A:$A,A122,'Sales Log'!$F:$F)</f>
        <v>0</v>
      </c>
      <c r="C122" s="22">
        <f>SUMIF('Sales Log'!$A:$A,A122,'Sales Log'!$G:$G)</f>
        <v>0</v>
      </c>
      <c r="D122" s="22">
        <f>SUMIF('Sales Log'!$A:$A,A122,'Sales Log'!$C:$C)</f>
        <v>0</v>
      </c>
      <c r="E122" s="22">
        <f>COUNTIF('Sales Log'!$A:$A,A122)</f>
        <v>0</v>
      </c>
      <c r="F122" s="22">
        <f t="shared" si="1"/>
        <v>0</v>
      </c>
    </row>
    <row r="123" spans="1:6" x14ac:dyDescent="0.25">
      <c r="A123" s="8">
        <v>46364</v>
      </c>
      <c r="B123" s="22">
        <f>SUMIF('Sales Log'!$A:$A,A123,'Sales Log'!$F:$F)</f>
        <v>0</v>
      </c>
      <c r="C123" s="22">
        <f>SUMIF('Sales Log'!$A:$A,A123,'Sales Log'!$G:$G)</f>
        <v>0</v>
      </c>
      <c r="D123" s="22">
        <f>SUMIF('Sales Log'!$A:$A,A123,'Sales Log'!$C:$C)</f>
        <v>0</v>
      </c>
      <c r="E123" s="22">
        <f>COUNTIF('Sales Log'!$A:$A,A123)</f>
        <v>0</v>
      </c>
      <c r="F123" s="22">
        <f t="shared" si="1"/>
        <v>0</v>
      </c>
    </row>
    <row r="124" spans="1:6" x14ac:dyDescent="0.25">
      <c r="A124" s="8">
        <v>46365</v>
      </c>
      <c r="B124" s="22">
        <f>SUMIF('Sales Log'!$A:$A,A124,'Sales Log'!$F:$F)</f>
        <v>0</v>
      </c>
      <c r="C124" s="22">
        <f>SUMIF('Sales Log'!$A:$A,A124,'Sales Log'!$G:$G)</f>
        <v>0</v>
      </c>
      <c r="D124" s="22">
        <f>SUMIF('Sales Log'!$A:$A,A124,'Sales Log'!$C:$C)</f>
        <v>0</v>
      </c>
      <c r="E124" s="22">
        <f>COUNTIF('Sales Log'!$A:$A,A124)</f>
        <v>0</v>
      </c>
      <c r="F124" s="22">
        <f t="shared" si="1"/>
        <v>0</v>
      </c>
    </row>
    <row r="125" spans="1:6" x14ac:dyDescent="0.25">
      <c r="A125" s="8">
        <v>46366</v>
      </c>
      <c r="B125" s="22">
        <f>SUMIF('Sales Log'!$A:$A,A125,'Sales Log'!$F:$F)</f>
        <v>0</v>
      </c>
      <c r="C125" s="22">
        <f>SUMIF('Sales Log'!$A:$A,A125,'Sales Log'!$G:$G)</f>
        <v>0</v>
      </c>
      <c r="D125" s="22">
        <f>SUMIF('Sales Log'!$A:$A,A125,'Sales Log'!$C:$C)</f>
        <v>0</v>
      </c>
      <c r="E125" s="22">
        <f>COUNTIF('Sales Log'!$A:$A,A125)</f>
        <v>0</v>
      </c>
      <c r="F125" s="22">
        <f t="shared" si="1"/>
        <v>0</v>
      </c>
    </row>
    <row r="126" spans="1:6" x14ac:dyDescent="0.25">
      <c r="A126" s="8">
        <v>46367</v>
      </c>
      <c r="B126" s="22">
        <f>SUMIF('Sales Log'!$A:$A,A126,'Sales Log'!$F:$F)</f>
        <v>0</v>
      </c>
      <c r="C126" s="22">
        <f>SUMIF('Sales Log'!$A:$A,A126,'Sales Log'!$G:$G)</f>
        <v>0</v>
      </c>
      <c r="D126" s="22">
        <f>SUMIF('Sales Log'!$A:$A,A126,'Sales Log'!$C:$C)</f>
        <v>0</v>
      </c>
      <c r="E126" s="22">
        <f>COUNTIF('Sales Log'!$A:$A,A126)</f>
        <v>0</v>
      </c>
      <c r="F126" s="22">
        <f t="shared" si="1"/>
        <v>0</v>
      </c>
    </row>
    <row r="127" spans="1:6" x14ac:dyDescent="0.25">
      <c r="A127" s="8">
        <v>46368</v>
      </c>
      <c r="B127" s="22">
        <f>SUMIF('Sales Log'!$A:$A,A127,'Sales Log'!$F:$F)</f>
        <v>0</v>
      </c>
      <c r="C127" s="22">
        <f>SUMIF('Sales Log'!$A:$A,A127,'Sales Log'!$G:$G)</f>
        <v>0</v>
      </c>
      <c r="D127" s="22">
        <f>SUMIF('Sales Log'!$A:$A,A127,'Sales Log'!$C:$C)</f>
        <v>0</v>
      </c>
      <c r="E127" s="22">
        <f>COUNTIF('Sales Log'!$A:$A,A127)</f>
        <v>0</v>
      </c>
      <c r="F127" s="22">
        <f t="shared" si="1"/>
        <v>0</v>
      </c>
    </row>
    <row r="128" spans="1:6" x14ac:dyDescent="0.25">
      <c r="A128" s="8">
        <v>46369</v>
      </c>
      <c r="B128" s="22">
        <f>SUMIF('Sales Log'!$A:$A,A128,'Sales Log'!$F:$F)</f>
        <v>0</v>
      </c>
      <c r="C128" s="22">
        <f>SUMIF('Sales Log'!$A:$A,A128,'Sales Log'!$G:$G)</f>
        <v>0</v>
      </c>
      <c r="D128" s="22">
        <f>SUMIF('Sales Log'!$A:$A,A128,'Sales Log'!$C:$C)</f>
        <v>0</v>
      </c>
      <c r="E128" s="22">
        <f>COUNTIF('Sales Log'!$A:$A,A128)</f>
        <v>0</v>
      </c>
      <c r="F128" s="22">
        <f t="shared" si="1"/>
        <v>0</v>
      </c>
    </row>
    <row r="129" spans="1:6" x14ac:dyDescent="0.25">
      <c r="A129" s="8">
        <v>46370</v>
      </c>
      <c r="B129" s="22">
        <f>SUMIF('Sales Log'!$A:$A,A129,'Sales Log'!$F:$F)</f>
        <v>0</v>
      </c>
      <c r="C129" s="22">
        <f>SUMIF('Sales Log'!$A:$A,A129,'Sales Log'!$G:$G)</f>
        <v>0</v>
      </c>
      <c r="D129" s="22">
        <f>SUMIF('Sales Log'!$A:$A,A129,'Sales Log'!$C:$C)</f>
        <v>0</v>
      </c>
      <c r="E129" s="22">
        <f>COUNTIF('Sales Log'!$A:$A,A129)</f>
        <v>0</v>
      </c>
      <c r="F129" s="22">
        <f t="shared" si="1"/>
        <v>0</v>
      </c>
    </row>
    <row r="130" spans="1:6" x14ac:dyDescent="0.25">
      <c r="A130" s="8">
        <v>46371</v>
      </c>
      <c r="B130" s="22">
        <f>SUMIF('Sales Log'!$A:$A,A130,'Sales Log'!$F:$F)</f>
        <v>0</v>
      </c>
      <c r="C130" s="22">
        <f>SUMIF('Sales Log'!$A:$A,A130,'Sales Log'!$G:$G)</f>
        <v>0</v>
      </c>
      <c r="D130" s="22">
        <f>SUMIF('Sales Log'!$A:$A,A130,'Sales Log'!$C:$C)</f>
        <v>0</v>
      </c>
      <c r="E130" s="22">
        <f>COUNTIF('Sales Log'!$A:$A,A130)</f>
        <v>0</v>
      </c>
      <c r="F130" s="22">
        <f t="shared" si="1"/>
        <v>0</v>
      </c>
    </row>
    <row r="131" spans="1:6" x14ac:dyDescent="0.25">
      <c r="A131" s="8">
        <v>46372</v>
      </c>
      <c r="B131" s="22">
        <f>SUMIF('Sales Log'!$A:$A,A131,'Sales Log'!$F:$F)</f>
        <v>0</v>
      </c>
      <c r="C131" s="22">
        <f>SUMIF('Sales Log'!$A:$A,A131,'Sales Log'!$G:$G)</f>
        <v>0</v>
      </c>
      <c r="D131" s="22">
        <f>SUMIF('Sales Log'!$A:$A,A131,'Sales Log'!$C:$C)</f>
        <v>0</v>
      </c>
      <c r="E131" s="22">
        <f>COUNTIF('Sales Log'!$A:$A,A131)</f>
        <v>0</v>
      </c>
      <c r="F131" s="22">
        <f t="shared" si="1"/>
        <v>0</v>
      </c>
    </row>
    <row r="132" spans="1:6" x14ac:dyDescent="0.25">
      <c r="A132" s="8">
        <v>46373</v>
      </c>
      <c r="B132" s="22">
        <f>SUMIF('Sales Log'!$A:$A,A132,'Sales Log'!$F:$F)</f>
        <v>0</v>
      </c>
      <c r="C132" s="22">
        <f>SUMIF('Sales Log'!$A:$A,A132,'Sales Log'!$G:$G)</f>
        <v>0</v>
      </c>
      <c r="D132" s="22">
        <f>SUMIF('Sales Log'!$A:$A,A132,'Sales Log'!$C:$C)</f>
        <v>0</v>
      </c>
      <c r="E132" s="22">
        <f>COUNTIF('Sales Log'!$A:$A,A132)</f>
        <v>0</v>
      </c>
      <c r="F132" s="22">
        <f t="shared" si="1"/>
        <v>0</v>
      </c>
    </row>
    <row r="133" spans="1:6" x14ac:dyDescent="0.25">
      <c r="A133" s="8">
        <v>46374</v>
      </c>
      <c r="B133" s="22">
        <f>SUMIF('Sales Log'!$A:$A,A133,'Sales Log'!$F:$F)</f>
        <v>0</v>
      </c>
      <c r="C133" s="22">
        <f>SUMIF('Sales Log'!$A:$A,A133,'Sales Log'!$G:$G)</f>
        <v>0</v>
      </c>
      <c r="D133" s="22">
        <f>SUMIF('Sales Log'!$A:$A,A133,'Sales Log'!$C:$C)</f>
        <v>0</v>
      </c>
      <c r="E133" s="22">
        <f>COUNTIF('Sales Log'!$A:$A,A133)</f>
        <v>0</v>
      </c>
      <c r="F133" s="22">
        <f t="shared" ref="F133:F196" si="2">IF(B133=0,0,C133/B133)</f>
        <v>0</v>
      </c>
    </row>
    <row r="134" spans="1:6" x14ac:dyDescent="0.25">
      <c r="A134" s="8">
        <v>46375</v>
      </c>
      <c r="B134" s="22">
        <f>SUMIF('Sales Log'!$A:$A,A134,'Sales Log'!$F:$F)</f>
        <v>0</v>
      </c>
      <c r="C134" s="22">
        <f>SUMIF('Sales Log'!$A:$A,A134,'Sales Log'!$G:$G)</f>
        <v>0</v>
      </c>
      <c r="D134" s="22">
        <f>SUMIF('Sales Log'!$A:$A,A134,'Sales Log'!$C:$C)</f>
        <v>0</v>
      </c>
      <c r="E134" s="22">
        <f>COUNTIF('Sales Log'!$A:$A,A134)</f>
        <v>0</v>
      </c>
      <c r="F134" s="22">
        <f t="shared" si="2"/>
        <v>0</v>
      </c>
    </row>
    <row r="135" spans="1:6" x14ac:dyDescent="0.25">
      <c r="A135" s="8">
        <v>46376</v>
      </c>
      <c r="B135" s="22">
        <f>SUMIF('Sales Log'!$A:$A,A135,'Sales Log'!$F:$F)</f>
        <v>0</v>
      </c>
      <c r="C135" s="22">
        <f>SUMIF('Sales Log'!$A:$A,A135,'Sales Log'!$G:$G)</f>
        <v>0</v>
      </c>
      <c r="D135" s="22">
        <f>SUMIF('Sales Log'!$A:$A,A135,'Sales Log'!$C:$C)</f>
        <v>0</v>
      </c>
      <c r="E135" s="22">
        <f>COUNTIF('Sales Log'!$A:$A,A135)</f>
        <v>0</v>
      </c>
      <c r="F135" s="22">
        <f t="shared" si="2"/>
        <v>0</v>
      </c>
    </row>
    <row r="136" spans="1:6" x14ac:dyDescent="0.25">
      <c r="A136" s="8">
        <v>46377</v>
      </c>
      <c r="B136" s="22">
        <f>SUMIF('Sales Log'!$A:$A,A136,'Sales Log'!$F:$F)</f>
        <v>0</v>
      </c>
      <c r="C136" s="22">
        <f>SUMIF('Sales Log'!$A:$A,A136,'Sales Log'!$G:$G)</f>
        <v>0</v>
      </c>
      <c r="D136" s="22">
        <f>SUMIF('Sales Log'!$A:$A,A136,'Sales Log'!$C:$C)</f>
        <v>0</v>
      </c>
      <c r="E136" s="22">
        <f>COUNTIF('Sales Log'!$A:$A,A136)</f>
        <v>0</v>
      </c>
      <c r="F136" s="22">
        <f t="shared" si="2"/>
        <v>0</v>
      </c>
    </row>
    <row r="137" spans="1:6" x14ac:dyDescent="0.25">
      <c r="A137" s="8">
        <v>46378</v>
      </c>
      <c r="B137" s="22">
        <f>SUMIF('Sales Log'!$A:$A,A137,'Sales Log'!$F:$F)</f>
        <v>0</v>
      </c>
      <c r="C137" s="22">
        <f>SUMIF('Sales Log'!$A:$A,A137,'Sales Log'!$G:$G)</f>
        <v>0</v>
      </c>
      <c r="D137" s="22">
        <f>SUMIF('Sales Log'!$A:$A,A137,'Sales Log'!$C:$C)</f>
        <v>0</v>
      </c>
      <c r="E137" s="22">
        <f>COUNTIF('Sales Log'!$A:$A,A137)</f>
        <v>0</v>
      </c>
      <c r="F137" s="22">
        <f t="shared" si="2"/>
        <v>0</v>
      </c>
    </row>
    <row r="138" spans="1:6" x14ac:dyDescent="0.25">
      <c r="A138" s="8">
        <v>46379</v>
      </c>
      <c r="B138" s="22">
        <f>SUMIF('Sales Log'!$A:$A,A138,'Sales Log'!$F:$F)</f>
        <v>0</v>
      </c>
      <c r="C138" s="22">
        <f>SUMIF('Sales Log'!$A:$A,A138,'Sales Log'!$G:$G)</f>
        <v>0</v>
      </c>
      <c r="D138" s="22">
        <f>SUMIF('Sales Log'!$A:$A,A138,'Sales Log'!$C:$C)</f>
        <v>0</v>
      </c>
      <c r="E138" s="22">
        <f>COUNTIF('Sales Log'!$A:$A,A138)</f>
        <v>0</v>
      </c>
      <c r="F138" s="22">
        <f t="shared" si="2"/>
        <v>0</v>
      </c>
    </row>
    <row r="139" spans="1:6" x14ac:dyDescent="0.25">
      <c r="A139" s="8">
        <v>46380</v>
      </c>
      <c r="B139" s="22">
        <f>SUMIF('Sales Log'!$A:$A,A139,'Sales Log'!$F:$F)</f>
        <v>0</v>
      </c>
      <c r="C139" s="22">
        <f>SUMIF('Sales Log'!$A:$A,A139,'Sales Log'!$G:$G)</f>
        <v>0</v>
      </c>
      <c r="D139" s="22">
        <f>SUMIF('Sales Log'!$A:$A,A139,'Sales Log'!$C:$C)</f>
        <v>0</v>
      </c>
      <c r="E139" s="22">
        <f>COUNTIF('Sales Log'!$A:$A,A139)</f>
        <v>0</v>
      </c>
      <c r="F139" s="22">
        <f t="shared" si="2"/>
        <v>0</v>
      </c>
    </row>
    <row r="140" spans="1:6" x14ac:dyDescent="0.25">
      <c r="A140" s="8">
        <v>46381</v>
      </c>
      <c r="B140" s="22">
        <f>SUMIF('Sales Log'!$A:$A,A140,'Sales Log'!$F:$F)</f>
        <v>0</v>
      </c>
      <c r="C140" s="22">
        <f>SUMIF('Sales Log'!$A:$A,A140,'Sales Log'!$G:$G)</f>
        <v>0</v>
      </c>
      <c r="D140" s="22">
        <f>SUMIF('Sales Log'!$A:$A,A140,'Sales Log'!$C:$C)</f>
        <v>0</v>
      </c>
      <c r="E140" s="22">
        <f>COUNTIF('Sales Log'!$A:$A,A140)</f>
        <v>0</v>
      </c>
      <c r="F140" s="22">
        <f t="shared" si="2"/>
        <v>0</v>
      </c>
    </row>
    <row r="141" spans="1:6" x14ac:dyDescent="0.25">
      <c r="A141" s="8">
        <v>46382</v>
      </c>
      <c r="B141" s="22">
        <f>SUMIF('Sales Log'!$A:$A,A141,'Sales Log'!$F:$F)</f>
        <v>0</v>
      </c>
      <c r="C141" s="22">
        <f>SUMIF('Sales Log'!$A:$A,A141,'Sales Log'!$G:$G)</f>
        <v>0</v>
      </c>
      <c r="D141" s="22">
        <f>SUMIF('Sales Log'!$A:$A,A141,'Sales Log'!$C:$C)</f>
        <v>0</v>
      </c>
      <c r="E141" s="22">
        <f>COUNTIF('Sales Log'!$A:$A,A141)</f>
        <v>0</v>
      </c>
      <c r="F141" s="22">
        <f t="shared" si="2"/>
        <v>0</v>
      </c>
    </row>
    <row r="142" spans="1:6" x14ac:dyDescent="0.25">
      <c r="A142" s="8">
        <v>46383</v>
      </c>
      <c r="B142" s="22">
        <f>SUMIF('Sales Log'!$A:$A,A142,'Sales Log'!$F:$F)</f>
        <v>0</v>
      </c>
      <c r="C142" s="22">
        <f>SUMIF('Sales Log'!$A:$A,A142,'Sales Log'!$G:$G)</f>
        <v>0</v>
      </c>
      <c r="D142" s="22">
        <f>SUMIF('Sales Log'!$A:$A,A142,'Sales Log'!$C:$C)</f>
        <v>0</v>
      </c>
      <c r="E142" s="22">
        <f>COUNTIF('Sales Log'!$A:$A,A142)</f>
        <v>0</v>
      </c>
      <c r="F142" s="22">
        <f t="shared" si="2"/>
        <v>0</v>
      </c>
    </row>
    <row r="143" spans="1:6" x14ac:dyDescent="0.25">
      <c r="A143" s="8">
        <v>46384</v>
      </c>
      <c r="B143" s="22">
        <f>SUMIF('Sales Log'!$A:$A,A143,'Sales Log'!$F:$F)</f>
        <v>0</v>
      </c>
      <c r="C143" s="22">
        <f>SUMIF('Sales Log'!$A:$A,A143,'Sales Log'!$G:$G)</f>
        <v>0</v>
      </c>
      <c r="D143" s="22">
        <f>SUMIF('Sales Log'!$A:$A,A143,'Sales Log'!$C:$C)</f>
        <v>0</v>
      </c>
      <c r="E143" s="22">
        <f>COUNTIF('Sales Log'!$A:$A,A143)</f>
        <v>0</v>
      </c>
      <c r="F143" s="22">
        <f t="shared" si="2"/>
        <v>0</v>
      </c>
    </row>
    <row r="144" spans="1:6" x14ac:dyDescent="0.25">
      <c r="A144" s="8">
        <v>46385</v>
      </c>
      <c r="B144" s="22">
        <f>SUMIF('Sales Log'!$A:$A,A144,'Sales Log'!$F:$F)</f>
        <v>0</v>
      </c>
      <c r="C144" s="22">
        <f>SUMIF('Sales Log'!$A:$A,A144,'Sales Log'!$G:$G)</f>
        <v>0</v>
      </c>
      <c r="D144" s="22">
        <f>SUMIF('Sales Log'!$A:$A,A144,'Sales Log'!$C:$C)</f>
        <v>0</v>
      </c>
      <c r="E144" s="22">
        <f>COUNTIF('Sales Log'!$A:$A,A144)</f>
        <v>0</v>
      </c>
      <c r="F144" s="22">
        <f t="shared" si="2"/>
        <v>0</v>
      </c>
    </row>
    <row r="145" spans="1:6" x14ac:dyDescent="0.25">
      <c r="A145" s="8">
        <v>46386</v>
      </c>
      <c r="B145" s="22">
        <f>SUMIF('Sales Log'!$A:$A,A145,'Sales Log'!$F:$F)</f>
        <v>0</v>
      </c>
      <c r="C145" s="22">
        <f>SUMIF('Sales Log'!$A:$A,A145,'Sales Log'!$G:$G)</f>
        <v>0</v>
      </c>
      <c r="D145" s="22">
        <f>SUMIF('Sales Log'!$A:$A,A145,'Sales Log'!$C:$C)</f>
        <v>0</v>
      </c>
      <c r="E145" s="22">
        <f>COUNTIF('Sales Log'!$A:$A,A145)</f>
        <v>0</v>
      </c>
      <c r="F145" s="22">
        <f t="shared" si="2"/>
        <v>0</v>
      </c>
    </row>
    <row r="146" spans="1:6" x14ac:dyDescent="0.25">
      <c r="A146" s="8">
        <v>46387</v>
      </c>
      <c r="B146" s="22">
        <f>SUMIF('Sales Log'!$A:$A,A146,'Sales Log'!$F:$F)</f>
        <v>0</v>
      </c>
      <c r="C146" s="22">
        <f>SUMIF('Sales Log'!$A:$A,A146,'Sales Log'!$G:$G)</f>
        <v>0</v>
      </c>
      <c r="D146" s="22">
        <f>SUMIF('Sales Log'!$A:$A,A146,'Sales Log'!$C:$C)</f>
        <v>0</v>
      </c>
      <c r="E146" s="22">
        <f>COUNTIF('Sales Log'!$A:$A,A146)</f>
        <v>0</v>
      </c>
      <c r="F146" s="22">
        <f t="shared" si="2"/>
        <v>0</v>
      </c>
    </row>
    <row r="147" spans="1:6" x14ac:dyDescent="0.25">
      <c r="A147" s="8">
        <v>46388</v>
      </c>
      <c r="B147" s="22">
        <f>SUMIF('Sales Log'!$A:$A,A147,'Sales Log'!$F:$F)</f>
        <v>0</v>
      </c>
      <c r="C147" s="22">
        <f>SUMIF('Sales Log'!$A:$A,A147,'Sales Log'!$G:$G)</f>
        <v>0</v>
      </c>
      <c r="D147" s="22">
        <f>SUMIF('Sales Log'!$A:$A,A147,'Sales Log'!$C:$C)</f>
        <v>0</v>
      </c>
      <c r="E147" s="22">
        <f>COUNTIF('Sales Log'!$A:$A,A147)</f>
        <v>0</v>
      </c>
      <c r="F147" s="22">
        <f t="shared" si="2"/>
        <v>0</v>
      </c>
    </row>
    <row r="148" spans="1:6" x14ac:dyDescent="0.25">
      <c r="A148" s="8">
        <v>46389</v>
      </c>
      <c r="B148" s="22">
        <f>SUMIF('Sales Log'!$A:$A,A148,'Sales Log'!$F:$F)</f>
        <v>0</v>
      </c>
      <c r="C148" s="22">
        <f>SUMIF('Sales Log'!$A:$A,A148,'Sales Log'!$G:$G)</f>
        <v>0</v>
      </c>
      <c r="D148" s="22">
        <f>SUMIF('Sales Log'!$A:$A,A148,'Sales Log'!$C:$C)</f>
        <v>0</v>
      </c>
      <c r="E148" s="22">
        <f>COUNTIF('Sales Log'!$A:$A,A148)</f>
        <v>0</v>
      </c>
      <c r="F148" s="22">
        <f t="shared" si="2"/>
        <v>0</v>
      </c>
    </row>
    <row r="149" spans="1:6" x14ac:dyDescent="0.25">
      <c r="A149" s="8">
        <v>46390</v>
      </c>
      <c r="B149" s="22">
        <f>SUMIF('Sales Log'!$A:$A,A149,'Sales Log'!$F:$F)</f>
        <v>0</v>
      </c>
      <c r="C149" s="22">
        <f>SUMIF('Sales Log'!$A:$A,A149,'Sales Log'!$G:$G)</f>
        <v>0</v>
      </c>
      <c r="D149" s="22">
        <f>SUMIF('Sales Log'!$A:$A,A149,'Sales Log'!$C:$C)</f>
        <v>0</v>
      </c>
      <c r="E149" s="22">
        <f>COUNTIF('Sales Log'!$A:$A,A149)</f>
        <v>0</v>
      </c>
      <c r="F149" s="22">
        <f t="shared" si="2"/>
        <v>0</v>
      </c>
    </row>
    <row r="150" spans="1:6" x14ac:dyDescent="0.25">
      <c r="A150" s="8">
        <v>46391</v>
      </c>
      <c r="B150" s="22">
        <f>SUMIF('Sales Log'!$A:$A,A150,'Sales Log'!$F:$F)</f>
        <v>0</v>
      </c>
      <c r="C150" s="22">
        <f>SUMIF('Sales Log'!$A:$A,A150,'Sales Log'!$G:$G)</f>
        <v>0</v>
      </c>
      <c r="D150" s="22">
        <f>SUMIF('Sales Log'!$A:$A,A150,'Sales Log'!$C:$C)</f>
        <v>0</v>
      </c>
      <c r="E150" s="22">
        <f>COUNTIF('Sales Log'!$A:$A,A150)</f>
        <v>0</v>
      </c>
      <c r="F150" s="22">
        <f t="shared" si="2"/>
        <v>0</v>
      </c>
    </row>
    <row r="151" spans="1:6" x14ac:dyDescent="0.25">
      <c r="A151" s="8">
        <v>46392</v>
      </c>
      <c r="B151" s="22">
        <f>SUMIF('Sales Log'!$A:$A,A151,'Sales Log'!$F:$F)</f>
        <v>0</v>
      </c>
      <c r="C151" s="22">
        <f>SUMIF('Sales Log'!$A:$A,A151,'Sales Log'!$G:$G)</f>
        <v>0</v>
      </c>
      <c r="D151" s="22">
        <f>SUMIF('Sales Log'!$A:$A,A151,'Sales Log'!$C:$C)</f>
        <v>0</v>
      </c>
      <c r="E151" s="22">
        <f>COUNTIF('Sales Log'!$A:$A,A151)</f>
        <v>0</v>
      </c>
      <c r="F151" s="22">
        <f t="shared" si="2"/>
        <v>0</v>
      </c>
    </row>
    <row r="152" spans="1:6" x14ac:dyDescent="0.25">
      <c r="A152" s="8">
        <v>46393</v>
      </c>
      <c r="B152" s="22">
        <f>SUMIF('Sales Log'!$A:$A,A152,'Sales Log'!$F:$F)</f>
        <v>0</v>
      </c>
      <c r="C152" s="22">
        <f>SUMIF('Sales Log'!$A:$A,A152,'Sales Log'!$G:$G)</f>
        <v>0</v>
      </c>
      <c r="D152" s="22">
        <f>SUMIF('Sales Log'!$A:$A,A152,'Sales Log'!$C:$C)</f>
        <v>0</v>
      </c>
      <c r="E152" s="22">
        <f>COUNTIF('Sales Log'!$A:$A,A152)</f>
        <v>0</v>
      </c>
      <c r="F152" s="22">
        <f t="shared" si="2"/>
        <v>0</v>
      </c>
    </row>
    <row r="153" spans="1:6" x14ac:dyDescent="0.25">
      <c r="A153" s="8">
        <v>46394</v>
      </c>
      <c r="B153" s="22">
        <f>SUMIF('Sales Log'!$A:$A,A153,'Sales Log'!$F:$F)</f>
        <v>0</v>
      </c>
      <c r="C153" s="22">
        <f>SUMIF('Sales Log'!$A:$A,A153,'Sales Log'!$G:$G)</f>
        <v>0</v>
      </c>
      <c r="D153" s="22">
        <f>SUMIF('Sales Log'!$A:$A,A153,'Sales Log'!$C:$C)</f>
        <v>0</v>
      </c>
      <c r="E153" s="22">
        <f>COUNTIF('Sales Log'!$A:$A,A153)</f>
        <v>0</v>
      </c>
      <c r="F153" s="22">
        <f t="shared" si="2"/>
        <v>0</v>
      </c>
    </row>
    <row r="154" spans="1:6" x14ac:dyDescent="0.25">
      <c r="A154" s="8">
        <v>46395</v>
      </c>
      <c r="B154" s="22">
        <f>SUMIF('Sales Log'!$A:$A,A154,'Sales Log'!$F:$F)</f>
        <v>0</v>
      </c>
      <c r="C154" s="22">
        <f>SUMIF('Sales Log'!$A:$A,A154,'Sales Log'!$G:$G)</f>
        <v>0</v>
      </c>
      <c r="D154" s="22">
        <f>SUMIF('Sales Log'!$A:$A,A154,'Sales Log'!$C:$C)</f>
        <v>0</v>
      </c>
      <c r="E154" s="22">
        <f>COUNTIF('Sales Log'!$A:$A,A154)</f>
        <v>0</v>
      </c>
      <c r="F154" s="22">
        <f t="shared" si="2"/>
        <v>0</v>
      </c>
    </row>
    <row r="155" spans="1:6" x14ac:dyDescent="0.25">
      <c r="A155" s="8">
        <v>46396</v>
      </c>
      <c r="B155" s="22">
        <f>SUMIF('Sales Log'!$A:$A,A155,'Sales Log'!$F:$F)</f>
        <v>0</v>
      </c>
      <c r="C155" s="22">
        <f>SUMIF('Sales Log'!$A:$A,A155,'Sales Log'!$G:$G)</f>
        <v>0</v>
      </c>
      <c r="D155" s="22">
        <f>SUMIF('Sales Log'!$A:$A,A155,'Sales Log'!$C:$C)</f>
        <v>0</v>
      </c>
      <c r="E155" s="22">
        <f>COUNTIF('Sales Log'!$A:$A,A155)</f>
        <v>0</v>
      </c>
      <c r="F155" s="22">
        <f t="shared" si="2"/>
        <v>0</v>
      </c>
    </row>
    <row r="156" spans="1:6" x14ac:dyDescent="0.25">
      <c r="A156" s="8">
        <v>46397</v>
      </c>
      <c r="B156" s="22">
        <f>SUMIF('Sales Log'!$A:$A,A156,'Sales Log'!$F:$F)</f>
        <v>0</v>
      </c>
      <c r="C156" s="22">
        <f>SUMIF('Sales Log'!$A:$A,A156,'Sales Log'!$G:$G)</f>
        <v>0</v>
      </c>
      <c r="D156" s="22">
        <f>SUMIF('Sales Log'!$A:$A,A156,'Sales Log'!$C:$C)</f>
        <v>0</v>
      </c>
      <c r="E156" s="22">
        <f>COUNTIF('Sales Log'!$A:$A,A156)</f>
        <v>0</v>
      </c>
      <c r="F156" s="22">
        <f t="shared" si="2"/>
        <v>0</v>
      </c>
    </row>
    <row r="157" spans="1:6" x14ac:dyDescent="0.25">
      <c r="A157" s="8">
        <v>46398</v>
      </c>
      <c r="B157" s="22">
        <f>SUMIF('Sales Log'!$A:$A,A157,'Sales Log'!$F:$F)</f>
        <v>0</v>
      </c>
      <c r="C157" s="22">
        <f>SUMIF('Sales Log'!$A:$A,A157,'Sales Log'!$G:$G)</f>
        <v>0</v>
      </c>
      <c r="D157" s="22">
        <f>SUMIF('Sales Log'!$A:$A,A157,'Sales Log'!$C:$C)</f>
        <v>0</v>
      </c>
      <c r="E157" s="22">
        <f>COUNTIF('Sales Log'!$A:$A,A157)</f>
        <v>0</v>
      </c>
      <c r="F157" s="22">
        <f t="shared" si="2"/>
        <v>0</v>
      </c>
    </row>
    <row r="158" spans="1:6" x14ac:dyDescent="0.25">
      <c r="A158" s="8">
        <v>46399</v>
      </c>
      <c r="B158" s="22">
        <f>SUMIF('Sales Log'!$A:$A,A158,'Sales Log'!$F:$F)</f>
        <v>0</v>
      </c>
      <c r="C158" s="22">
        <f>SUMIF('Sales Log'!$A:$A,A158,'Sales Log'!$G:$G)</f>
        <v>0</v>
      </c>
      <c r="D158" s="22">
        <f>SUMIF('Sales Log'!$A:$A,A158,'Sales Log'!$C:$C)</f>
        <v>0</v>
      </c>
      <c r="E158" s="22">
        <f>COUNTIF('Sales Log'!$A:$A,A158)</f>
        <v>0</v>
      </c>
      <c r="F158" s="22">
        <f t="shared" si="2"/>
        <v>0</v>
      </c>
    </row>
    <row r="159" spans="1:6" x14ac:dyDescent="0.25">
      <c r="A159" s="8">
        <v>46400</v>
      </c>
      <c r="B159" s="22">
        <f>SUMIF('Sales Log'!$A:$A,A159,'Sales Log'!$F:$F)</f>
        <v>0</v>
      </c>
      <c r="C159" s="22">
        <f>SUMIF('Sales Log'!$A:$A,A159,'Sales Log'!$G:$G)</f>
        <v>0</v>
      </c>
      <c r="D159" s="22">
        <f>SUMIF('Sales Log'!$A:$A,A159,'Sales Log'!$C:$C)</f>
        <v>0</v>
      </c>
      <c r="E159" s="22">
        <f>COUNTIF('Sales Log'!$A:$A,A159)</f>
        <v>0</v>
      </c>
      <c r="F159" s="22">
        <f t="shared" si="2"/>
        <v>0</v>
      </c>
    </row>
    <row r="160" spans="1:6" x14ac:dyDescent="0.25">
      <c r="A160" s="8">
        <v>46401</v>
      </c>
      <c r="B160" s="22">
        <f>SUMIF('Sales Log'!$A:$A,A160,'Sales Log'!$F:$F)</f>
        <v>0</v>
      </c>
      <c r="C160" s="22">
        <f>SUMIF('Sales Log'!$A:$A,A160,'Sales Log'!$G:$G)</f>
        <v>0</v>
      </c>
      <c r="D160" s="22">
        <f>SUMIF('Sales Log'!$A:$A,A160,'Sales Log'!$C:$C)</f>
        <v>0</v>
      </c>
      <c r="E160" s="22">
        <f>COUNTIF('Sales Log'!$A:$A,A160)</f>
        <v>0</v>
      </c>
      <c r="F160" s="22">
        <f t="shared" si="2"/>
        <v>0</v>
      </c>
    </row>
    <row r="161" spans="1:6" x14ac:dyDescent="0.25">
      <c r="A161" s="8">
        <v>46402</v>
      </c>
      <c r="B161" s="22">
        <f>SUMIF('Sales Log'!$A:$A,A161,'Sales Log'!$F:$F)</f>
        <v>0</v>
      </c>
      <c r="C161" s="22">
        <f>SUMIF('Sales Log'!$A:$A,A161,'Sales Log'!$G:$G)</f>
        <v>0</v>
      </c>
      <c r="D161" s="22">
        <f>SUMIF('Sales Log'!$A:$A,A161,'Sales Log'!$C:$C)</f>
        <v>0</v>
      </c>
      <c r="E161" s="22">
        <f>COUNTIF('Sales Log'!$A:$A,A161)</f>
        <v>0</v>
      </c>
      <c r="F161" s="22">
        <f t="shared" si="2"/>
        <v>0</v>
      </c>
    </row>
    <row r="162" spans="1:6" x14ac:dyDescent="0.25">
      <c r="A162" s="8">
        <v>46403</v>
      </c>
      <c r="B162" s="22">
        <f>SUMIF('Sales Log'!$A:$A,A162,'Sales Log'!$F:$F)</f>
        <v>0</v>
      </c>
      <c r="C162" s="22">
        <f>SUMIF('Sales Log'!$A:$A,A162,'Sales Log'!$G:$G)</f>
        <v>0</v>
      </c>
      <c r="D162" s="22">
        <f>SUMIF('Sales Log'!$A:$A,A162,'Sales Log'!$C:$C)</f>
        <v>0</v>
      </c>
      <c r="E162" s="22">
        <f>COUNTIF('Sales Log'!$A:$A,A162)</f>
        <v>0</v>
      </c>
      <c r="F162" s="22">
        <f t="shared" si="2"/>
        <v>0</v>
      </c>
    </row>
    <row r="163" spans="1:6" x14ac:dyDescent="0.25">
      <c r="A163" s="8">
        <v>46404</v>
      </c>
      <c r="B163" s="22">
        <f>SUMIF('Sales Log'!$A:$A,A163,'Sales Log'!$F:$F)</f>
        <v>0</v>
      </c>
      <c r="C163" s="22">
        <f>SUMIF('Sales Log'!$A:$A,A163,'Sales Log'!$G:$G)</f>
        <v>0</v>
      </c>
      <c r="D163" s="22">
        <f>SUMIF('Sales Log'!$A:$A,A163,'Sales Log'!$C:$C)</f>
        <v>0</v>
      </c>
      <c r="E163" s="22">
        <f>COUNTIF('Sales Log'!$A:$A,A163)</f>
        <v>0</v>
      </c>
      <c r="F163" s="22">
        <f t="shared" si="2"/>
        <v>0</v>
      </c>
    </row>
    <row r="164" spans="1:6" x14ac:dyDescent="0.25">
      <c r="A164" s="8">
        <v>46405</v>
      </c>
      <c r="B164" s="22">
        <f>SUMIF('Sales Log'!$A:$A,A164,'Sales Log'!$F:$F)</f>
        <v>0</v>
      </c>
      <c r="C164" s="22">
        <f>SUMIF('Sales Log'!$A:$A,A164,'Sales Log'!$G:$G)</f>
        <v>0</v>
      </c>
      <c r="D164" s="22">
        <f>SUMIF('Sales Log'!$A:$A,A164,'Sales Log'!$C:$C)</f>
        <v>0</v>
      </c>
      <c r="E164" s="22">
        <f>COUNTIF('Sales Log'!$A:$A,A164)</f>
        <v>0</v>
      </c>
      <c r="F164" s="22">
        <f t="shared" si="2"/>
        <v>0</v>
      </c>
    </row>
    <row r="165" spans="1:6" x14ac:dyDescent="0.25">
      <c r="A165" s="8">
        <v>46406</v>
      </c>
      <c r="B165" s="22">
        <f>SUMIF('Sales Log'!$A:$A,A165,'Sales Log'!$F:$F)</f>
        <v>0</v>
      </c>
      <c r="C165" s="22">
        <f>SUMIF('Sales Log'!$A:$A,A165,'Sales Log'!$G:$G)</f>
        <v>0</v>
      </c>
      <c r="D165" s="22">
        <f>SUMIF('Sales Log'!$A:$A,A165,'Sales Log'!$C:$C)</f>
        <v>0</v>
      </c>
      <c r="E165" s="22">
        <f>COUNTIF('Sales Log'!$A:$A,A165)</f>
        <v>0</v>
      </c>
      <c r="F165" s="22">
        <f t="shared" si="2"/>
        <v>0</v>
      </c>
    </row>
    <row r="166" spans="1:6" x14ac:dyDescent="0.25">
      <c r="A166" s="8">
        <v>46407</v>
      </c>
      <c r="B166" s="22">
        <f>SUMIF('Sales Log'!$A:$A,A166,'Sales Log'!$F:$F)</f>
        <v>0</v>
      </c>
      <c r="C166" s="22">
        <f>SUMIF('Sales Log'!$A:$A,A166,'Sales Log'!$G:$G)</f>
        <v>0</v>
      </c>
      <c r="D166" s="22">
        <f>SUMIF('Sales Log'!$A:$A,A166,'Sales Log'!$C:$C)</f>
        <v>0</v>
      </c>
      <c r="E166" s="22">
        <f>COUNTIF('Sales Log'!$A:$A,A166)</f>
        <v>0</v>
      </c>
      <c r="F166" s="22">
        <f t="shared" si="2"/>
        <v>0</v>
      </c>
    </row>
    <row r="167" spans="1:6" x14ac:dyDescent="0.25">
      <c r="A167" s="8">
        <v>46408</v>
      </c>
      <c r="B167" s="22">
        <f>SUMIF('Sales Log'!$A:$A,A167,'Sales Log'!$F:$F)</f>
        <v>0</v>
      </c>
      <c r="C167" s="22">
        <f>SUMIF('Sales Log'!$A:$A,A167,'Sales Log'!$G:$G)</f>
        <v>0</v>
      </c>
      <c r="D167" s="22">
        <f>SUMIF('Sales Log'!$A:$A,A167,'Sales Log'!$C:$C)</f>
        <v>0</v>
      </c>
      <c r="E167" s="22">
        <f>COUNTIF('Sales Log'!$A:$A,A167)</f>
        <v>0</v>
      </c>
      <c r="F167" s="22">
        <f t="shared" si="2"/>
        <v>0</v>
      </c>
    </row>
    <row r="168" spans="1:6" x14ac:dyDescent="0.25">
      <c r="A168" s="8">
        <v>46409</v>
      </c>
      <c r="B168" s="22">
        <f>SUMIF('Sales Log'!$A:$A,A168,'Sales Log'!$F:$F)</f>
        <v>0</v>
      </c>
      <c r="C168" s="22">
        <f>SUMIF('Sales Log'!$A:$A,A168,'Sales Log'!$G:$G)</f>
        <v>0</v>
      </c>
      <c r="D168" s="22">
        <f>SUMIF('Sales Log'!$A:$A,A168,'Sales Log'!$C:$C)</f>
        <v>0</v>
      </c>
      <c r="E168" s="22">
        <f>COUNTIF('Sales Log'!$A:$A,A168)</f>
        <v>0</v>
      </c>
      <c r="F168" s="22">
        <f t="shared" si="2"/>
        <v>0</v>
      </c>
    </row>
    <row r="169" spans="1:6" x14ac:dyDescent="0.25">
      <c r="A169" s="8">
        <v>46410</v>
      </c>
      <c r="B169" s="22">
        <f>SUMIF('Sales Log'!$A:$A,A169,'Sales Log'!$F:$F)</f>
        <v>0</v>
      </c>
      <c r="C169" s="22">
        <f>SUMIF('Sales Log'!$A:$A,A169,'Sales Log'!$G:$G)</f>
        <v>0</v>
      </c>
      <c r="D169" s="22">
        <f>SUMIF('Sales Log'!$A:$A,A169,'Sales Log'!$C:$C)</f>
        <v>0</v>
      </c>
      <c r="E169" s="22">
        <f>COUNTIF('Sales Log'!$A:$A,A169)</f>
        <v>0</v>
      </c>
      <c r="F169" s="22">
        <f t="shared" si="2"/>
        <v>0</v>
      </c>
    </row>
    <row r="170" spans="1:6" x14ac:dyDescent="0.25">
      <c r="A170" s="8">
        <v>46411</v>
      </c>
      <c r="B170" s="22">
        <f>SUMIF('Sales Log'!$A:$A,A170,'Sales Log'!$F:$F)</f>
        <v>0</v>
      </c>
      <c r="C170" s="22">
        <f>SUMIF('Sales Log'!$A:$A,A170,'Sales Log'!$G:$G)</f>
        <v>0</v>
      </c>
      <c r="D170" s="22">
        <f>SUMIF('Sales Log'!$A:$A,A170,'Sales Log'!$C:$C)</f>
        <v>0</v>
      </c>
      <c r="E170" s="22">
        <f>COUNTIF('Sales Log'!$A:$A,A170)</f>
        <v>0</v>
      </c>
      <c r="F170" s="22">
        <f t="shared" si="2"/>
        <v>0</v>
      </c>
    </row>
    <row r="171" spans="1:6" x14ac:dyDescent="0.25">
      <c r="A171" s="8">
        <v>46412</v>
      </c>
      <c r="B171" s="22">
        <f>SUMIF('Sales Log'!$A:$A,A171,'Sales Log'!$F:$F)</f>
        <v>0</v>
      </c>
      <c r="C171" s="22">
        <f>SUMIF('Sales Log'!$A:$A,A171,'Sales Log'!$G:$G)</f>
        <v>0</v>
      </c>
      <c r="D171" s="22">
        <f>SUMIF('Sales Log'!$A:$A,A171,'Sales Log'!$C:$C)</f>
        <v>0</v>
      </c>
      <c r="E171" s="22">
        <f>COUNTIF('Sales Log'!$A:$A,A171)</f>
        <v>0</v>
      </c>
      <c r="F171" s="22">
        <f t="shared" si="2"/>
        <v>0</v>
      </c>
    </row>
    <row r="172" spans="1:6" x14ac:dyDescent="0.25">
      <c r="A172" s="8">
        <v>46413</v>
      </c>
      <c r="B172" s="22">
        <f>SUMIF('Sales Log'!$A:$A,A172,'Sales Log'!$F:$F)</f>
        <v>0</v>
      </c>
      <c r="C172" s="22">
        <f>SUMIF('Sales Log'!$A:$A,A172,'Sales Log'!$G:$G)</f>
        <v>0</v>
      </c>
      <c r="D172" s="22">
        <f>SUMIF('Sales Log'!$A:$A,A172,'Sales Log'!$C:$C)</f>
        <v>0</v>
      </c>
      <c r="E172" s="22">
        <f>COUNTIF('Sales Log'!$A:$A,A172)</f>
        <v>0</v>
      </c>
      <c r="F172" s="22">
        <f t="shared" si="2"/>
        <v>0</v>
      </c>
    </row>
    <row r="173" spans="1:6" x14ac:dyDescent="0.25">
      <c r="A173" s="8">
        <v>46414</v>
      </c>
      <c r="B173" s="22">
        <f>SUMIF('Sales Log'!$A:$A,A173,'Sales Log'!$F:$F)</f>
        <v>0</v>
      </c>
      <c r="C173" s="22">
        <f>SUMIF('Sales Log'!$A:$A,A173,'Sales Log'!$G:$G)</f>
        <v>0</v>
      </c>
      <c r="D173" s="22">
        <f>SUMIF('Sales Log'!$A:$A,A173,'Sales Log'!$C:$C)</f>
        <v>0</v>
      </c>
      <c r="E173" s="22">
        <f>COUNTIF('Sales Log'!$A:$A,A173)</f>
        <v>0</v>
      </c>
      <c r="F173" s="22">
        <f t="shared" si="2"/>
        <v>0</v>
      </c>
    </row>
    <row r="174" spans="1:6" x14ac:dyDescent="0.25">
      <c r="A174" s="8">
        <v>46415</v>
      </c>
      <c r="B174" s="22">
        <f>SUMIF('Sales Log'!$A:$A,A174,'Sales Log'!$F:$F)</f>
        <v>0</v>
      </c>
      <c r="C174" s="22">
        <f>SUMIF('Sales Log'!$A:$A,A174,'Sales Log'!$G:$G)</f>
        <v>0</v>
      </c>
      <c r="D174" s="22">
        <f>SUMIF('Sales Log'!$A:$A,A174,'Sales Log'!$C:$C)</f>
        <v>0</v>
      </c>
      <c r="E174" s="22">
        <f>COUNTIF('Sales Log'!$A:$A,A174)</f>
        <v>0</v>
      </c>
      <c r="F174" s="22">
        <f t="shared" si="2"/>
        <v>0</v>
      </c>
    </row>
    <row r="175" spans="1:6" x14ac:dyDescent="0.25">
      <c r="A175" s="8">
        <v>46416</v>
      </c>
      <c r="B175" s="22">
        <f>SUMIF('Sales Log'!$A:$A,A175,'Sales Log'!$F:$F)</f>
        <v>0</v>
      </c>
      <c r="C175" s="22">
        <f>SUMIF('Sales Log'!$A:$A,A175,'Sales Log'!$G:$G)</f>
        <v>0</v>
      </c>
      <c r="D175" s="22">
        <f>SUMIF('Sales Log'!$A:$A,A175,'Sales Log'!$C:$C)</f>
        <v>0</v>
      </c>
      <c r="E175" s="22">
        <f>COUNTIF('Sales Log'!$A:$A,A175)</f>
        <v>0</v>
      </c>
      <c r="F175" s="22">
        <f t="shared" si="2"/>
        <v>0</v>
      </c>
    </row>
    <row r="176" spans="1:6" x14ac:dyDescent="0.25">
      <c r="A176" s="8">
        <v>46417</v>
      </c>
      <c r="B176" s="22">
        <f>SUMIF('Sales Log'!$A:$A,A176,'Sales Log'!$F:$F)</f>
        <v>0</v>
      </c>
      <c r="C176" s="22">
        <f>SUMIF('Sales Log'!$A:$A,A176,'Sales Log'!$G:$G)</f>
        <v>0</v>
      </c>
      <c r="D176" s="22">
        <f>SUMIF('Sales Log'!$A:$A,A176,'Sales Log'!$C:$C)</f>
        <v>0</v>
      </c>
      <c r="E176" s="22">
        <f>COUNTIF('Sales Log'!$A:$A,A176)</f>
        <v>0</v>
      </c>
      <c r="F176" s="22">
        <f t="shared" si="2"/>
        <v>0</v>
      </c>
    </row>
    <row r="177" spans="1:6" x14ac:dyDescent="0.25">
      <c r="A177" s="8">
        <v>46418</v>
      </c>
      <c r="B177" s="22">
        <f>SUMIF('Sales Log'!$A:$A,A177,'Sales Log'!$F:$F)</f>
        <v>0</v>
      </c>
      <c r="C177" s="22">
        <f>SUMIF('Sales Log'!$A:$A,A177,'Sales Log'!$G:$G)</f>
        <v>0</v>
      </c>
      <c r="D177" s="22">
        <f>SUMIF('Sales Log'!$A:$A,A177,'Sales Log'!$C:$C)</f>
        <v>0</v>
      </c>
      <c r="E177" s="22">
        <f>COUNTIF('Sales Log'!$A:$A,A177)</f>
        <v>0</v>
      </c>
      <c r="F177" s="22">
        <f t="shared" si="2"/>
        <v>0</v>
      </c>
    </row>
    <row r="178" spans="1:6" x14ac:dyDescent="0.25">
      <c r="A178" s="8">
        <v>46419</v>
      </c>
      <c r="B178" s="22">
        <f>SUMIF('Sales Log'!$A:$A,A178,'Sales Log'!$F:$F)</f>
        <v>0</v>
      </c>
      <c r="C178" s="22">
        <f>SUMIF('Sales Log'!$A:$A,A178,'Sales Log'!$G:$G)</f>
        <v>0</v>
      </c>
      <c r="D178" s="22">
        <f>SUMIF('Sales Log'!$A:$A,A178,'Sales Log'!$C:$C)</f>
        <v>0</v>
      </c>
      <c r="E178" s="22">
        <f>COUNTIF('Sales Log'!$A:$A,A178)</f>
        <v>0</v>
      </c>
      <c r="F178" s="22">
        <f t="shared" si="2"/>
        <v>0</v>
      </c>
    </row>
    <row r="179" spans="1:6" x14ac:dyDescent="0.25">
      <c r="A179" s="8">
        <v>46420</v>
      </c>
      <c r="B179" s="22">
        <f>SUMIF('Sales Log'!$A:$A,A179,'Sales Log'!$F:$F)</f>
        <v>0</v>
      </c>
      <c r="C179" s="22">
        <f>SUMIF('Sales Log'!$A:$A,A179,'Sales Log'!$G:$G)</f>
        <v>0</v>
      </c>
      <c r="D179" s="22">
        <f>SUMIF('Sales Log'!$A:$A,A179,'Sales Log'!$C:$C)</f>
        <v>0</v>
      </c>
      <c r="E179" s="22">
        <f>COUNTIF('Sales Log'!$A:$A,A179)</f>
        <v>0</v>
      </c>
      <c r="F179" s="22">
        <f t="shared" si="2"/>
        <v>0</v>
      </c>
    </row>
    <row r="180" spans="1:6" x14ac:dyDescent="0.25">
      <c r="A180" s="8">
        <v>46421</v>
      </c>
      <c r="B180" s="22">
        <f>SUMIF('Sales Log'!$A:$A,A180,'Sales Log'!$F:$F)</f>
        <v>0</v>
      </c>
      <c r="C180" s="22">
        <f>SUMIF('Sales Log'!$A:$A,A180,'Sales Log'!$G:$G)</f>
        <v>0</v>
      </c>
      <c r="D180" s="22">
        <f>SUMIF('Sales Log'!$A:$A,A180,'Sales Log'!$C:$C)</f>
        <v>0</v>
      </c>
      <c r="E180" s="22">
        <f>COUNTIF('Sales Log'!$A:$A,A180)</f>
        <v>0</v>
      </c>
      <c r="F180" s="22">
        <f t="shared" si="2"/>
        <v>0</v>
      </c>
    </row>
    <row r="181" spans="1:6" x14ac:dyDescent="0.25">
      <c r="A181" s="8">
        <v>46422</v>
      </c>
      <c r="B181" s="22">
        <f>SUMIF('Sales Log'!$A:$A,A181,'Sales Log'!$F:$F)</f>
        <v>0</v>
      </c>
      <c r="C181" s="22">
        <f>SUMIF('Sales Log'!$A:$A,A181,'Sales Log'!$G:$G)</f>
        <v>0</v>
      </c>
      <c r="D181" s="22">
        <f>SUMIF('Sales Log'!$A:$A,A181,'Sales Log'!$C:$C)</f>
        <v>0</v>
      </c>
      <c r="E181" s="22">
        <f>COUNTIF('Sales Log'!$A:$A,A181)</f>
        <v>0</v>
      </c>
      <c r="F181" s="22">
        <f t="shared" si="2"/>
        <v>0</v>
      </c>
    </row>
    <row r="182" spans="1:6" x14ac:dyDescent="0.25">
      <c r="A182" s="8">
        <v>46423</v>
      </c>
      <c r="B182" s="22">
        <f>SUMIF('Sales Log'!$A:$A,A182,'Sales Log'!$F:$F)</f>
        <v>0</v>
      </c>
      <c r="C182" s="22">
        <f>SUMIF('Sales Log'!$A:$A,A182,'Sales Log'!$G:$G)</f>
        <v>0</v>
      </c>
      <c r="D182" s="22">
        <f>SUMIF('Sales Log'!$A:$A,A182,'Sales Log'!$C:$C)</f>
        <v>0</v>
      </c>
      <c r="E182" s="22">
        <f>COUNTIF('Sales Log'!$A:$A,A182)</f>
        <v>0</v>
      </c>
      <c r="F182" s="22">
        <f t="shared" si="2"/>
        <v>0</v>
      </c>
    </row>
    <row r="183" spans="1:6" x14ac:dyDescent="0.25">
      <c r="A183" s="8">
        <v>46424</v>
      </c>
      <c r="B183" s="22">
        <f>SUMIF('Sales Log'!$A:$A,A183,'Sales Log'!$F:$F)</f>
        <v>0</v>
      </c>
      <c r="C183" s="22">
        <f>SUMIF('Sales Log'!$A:$A,A183,'Sales Log'!$G:$G)</f>
        <v>0</v>
      </c>
      <c r="D183" s="22">
        <f>SUMIF('Sales Log'!$A:$A,A183,'Sales Log'!$C:$C)</f>
        <v>0</v>
      </c>
      <c r="E183" s="22">
        <f>COUNTIF('Sales Log'!$A:$A,A183)</f>
        <v>0</v>
      </c>
      <c r="F183" s="22">
        <f t="shared" si="2"/>
        <v>0</v>
      </c>
    </row>
    <row r="184" spans="1:6" x14ac:dyDescent="0.25">
      <c r="A184" s="8">
        <v>46425</v>
      </c>
      <c r="B184" s="22">
        <f>SUMIF('Sales Log'!$A:$A,A184,'Sales Log'!$F:$F)</f>
        <v>0</v>
      </c>
      <c r="C184" s="22">
        <f>SUMIF('Sales Log'!$A:$A,A184,'Sales Log'!$G:$G)</f>
        <v>0</v>
      </c>
      <c r="D184" s="22">
        <f>SUMIF('Sales Log'!$A:$A,A184,'Sales Log'!$C:$C)</f>
        <v>0</v>
      </c>
      <c r="E184" s="22">
        <f>COUNTIF('Sales Log'!$A:$A,A184)</f>
        <v>0</v>
      </c>
      <c r="F184" s="22">
        <f t="shared" si="2"/>
        <v>0</v>
      </c>
    </row>
    <row r="185" spans="1:6" x14ac:dyDescent="0.25">
      <c r="A185" s="8">
        <v>46426</v>
      </c>
      <c r="B185" s="22">
        <f>SUMIF('Sales Log'!$A:$A,A185,'Sales Log'!$F:$F)</f>
        <v>0</v>
      </c>
      <c r="C185" s="22">
        <f>SUMIF('Sales Log'!$A:$A,A185,'Sales Log'!$G:$G)</f>
        <v>0</v>
      </c>
      <c r="D185" s="22">
        <f>SUMIF('Sales Log'!$A:$A,A185,'Sales Log'!$C:$C)</f>
        <v>0</v>
      </c>
      <c r="E185" s="22">
        <f>COUNTIF('Sales Log'!$A:$A,A185)</f>
        <v>0</v>
      </c>
      <c r="F185" s="22">
        <f t="shared" si="2"/>
        <v>0</v>
      </c>
    </row>
    <row r="186" spans="1:6" x14ac:dyDescent="0.25">
      <c r="A186" s="8">
        <v>46427</v>
      </c>
      <c r="B186" s="22">
        <f>SUMIF('Sales Log'!$A:$A,A186,'Sales Log'!$F:$F)</f>
        <v>0</v>
      </c>
      <c r="C186" s="22">
        <f>SUMIF('Sales Log'!$A:$A,A186,'Sales Log'!$G:$G)</f>
        <v>0</v>
      </c>
      <c r="D186" s="22">
        <f>SUMIF('Sales Log'!$A:$A,A186,'Sales Log'!$C:$C)</f>
        <v>0</v>
      </c>
      <c r="E186" s="22">
        <f>COUNTIF('Sales Log'!$A:$A,A186)</f>
        <v>0</v>
      </c>
      <c r="F186" s="22">
        <f t="shared" si="2"/>
        <v>0</v>
      </c>
    </row>
    <row r="187" spans="1:6" x14ac:dyDescent="0.25">
      <c r="A187" s="8">
        <v>46428</v>
      </c>
      <c r="B187" s="22">
        <f>SUMIF('Sales Log'!$A:$A,A187,'Sales Log'!$F:$F)</f>
        <v>0</v>
      </c>
      <c r="C187" s="22">
        <f>SUMIF('Sales Log'!$A:$A,A187,'Sales Log'!$G:$G)</f>
        <v>0</v>
      </c>
      <c r="D187" s="22">
        <f>SUMIF('Sales Log'!$A:$A,A187,'Sales Log'!$C:$C)</f>
        <v>0</v>
      </c>
      <c r="E187" s="22">
        <f>COUNTIF('Sales Log'!$A:$A,A187)</f>
        <v>0</v>
      </c>
      <c r="F187" s="22">
        <f t="shared" si="2"/>
        <v>0</v>
      </c>
    </row>
    <row r="188" spans="1:6" x14ac:dyDescent="0.25">
      <c r="A188" s="8">
        <v>46429</v>
      </c>
      <c r="B188" s="22">
        <f>SUMIF('Sales Log'!$A:$A,A188,'Sales Log'!$F:$F)</f>
        <v>0</v>
      </c>
      <c r="C188" s="22">
        <f>SUMIF('Sales Log'!$A:$A,A188,'Sales Log'!$G:$G)</f>
        <v>0</v>
      </c>
      <c r="D188" s="22">
        <f>SUMIF('Sales Log'!$A:$A,A188,'Sales Log'!$C:$C)</f>
        <v>0</v>
      </c>
      <c r="E188" s="22">
        <f>COUNTIF('Sales Log'!$A:$A,A188)</f>
        <v>0</v>
      </c>
      <c r="F188" s="22">
        <f t="shared" si="2"/>
        <v>0</v>
      </c>
    </row>
    <row r="189" spans="1:6" x14ac:dyDescent="0.25">
      <c r="A189" s="8">
        <v>46430</v>
      </c>
      <c r="B189" s="22">
        <f>SUMIF('Sales Log'!$A:$A,A189,'Sales Log'!$F:$F)</f>
        <v>0</v>
      </c>
      <c r="C189" s="22">
        <f>SUMIF('Sales Log'!$A:$A,A189,'Sales Log'!$G:$G)</f>
        <v>0</v>
      </c>
      <c r="D189" s="22">
        <f>SUMIF('Sales Log'!$A:$A,A189,'Sales Log'!$C:$C)</f>
        <v>0</v>
      </c>
      <c r="E189" s="22">
        <f>COUNTIF('Sales Log'!$A:$A,A189)</f>
        <v>0</v>
      </c>
      <c r="F189" s="22">
        <f t="shared" si="2"/>
        <v>0</v>
      </c>
    </row>
    <row r="190" spans="1:6" x14ac:dyDescent="0.25">
      <c r="A190" s="8">
        <v>46431</v>
      </c>
      <c r="B190" s="22">
        <f>SUMIF('Sales Log'!$A:$A,A190,'Sales Log'!$F:$F)</f>
        <v>0</v>
      </c>
      <c r="C190" s="22">
        <f>SUMIF('Sales Log'!$A:$A,A190,'Sales Log'!$G:$G)</f>
        <v>0</v>
      </c>
      <c r="D190" s="22">
        <f>SUMIF('Sales Log'!$A:$A,A190,'Sales Log'!$C:$C)</f>
        <v>0</v>
      </c>
      <c r="E190" s="22">
        <f>COUNTIF('Sales Log'!$A:$A,A190)</f>
        <v>0</v>
      </c>
      <c r="F190" s="22">
        <f t="shared" si="2"/>
        <v>0</v>
      </c>
    </row>
    <row r="191" spans="1:6" x14ac:dyDescent="0.25">
      <c r="A191" s="8">
        <v>46432</v>
      </c>
      <c r="B191" s="22">
        <f>SUMIF('Sales Log'!$A:$A,A191,'Sales Log'!$F:$F)</f>
        <v>0</v>
      </c>
      <c r="C191" s="22">
        <f>SUMIF('Sales Log'!$A:$A,A191,'Sales Log'!$G:$G)</f>
        <v>0</v>
      </c>
      <c r="D191" s="22">
        <f>SUMIF('Sales Log'!$A:$A,A191,'Sales Log'!$C:$C)</f>
        <v>0</v>
      </c>
      <c r="E191" s="22">
        <f>COUNTIF('Sales Log'!$A:$A,A191)</f>
        <v>0</v>
      </c>
      <c r="F191" s="22">
        <f t="shared" si="2"/>
        <v>0</v>
      </c>
    </row>
    <row r="192" spans="1:6" x14ac:dyDescent="0.25">
      <c r="A192" s="8">
        <v>46433</v>
      </c>
      <c r="B192" s="22">
        <f>SUMIF('Sales Log'!$A:$A,A192,'Sales Log'!$F:$F)</f>
        <v>0</v>
      </c>
      <c r="C192" s="22">
        <f>SUMIF('Sales Log'!$A:$A,A192,'Sales Log'!$G:$G)</f>
        <v>0</v>
      </c>
      <c r="D192" s="22">
        <f>SUMIF('Sales Log'!$A:$A,A192,'Sales Log'!$C:$C)</f>
        <v>0</v>
      </c>
      <c r="E192" s="22">
        <f>COUNTIF('Sales Log'!$A:$A,A192)</f>
        <v>0</v>
      </c>
      <c r="F192" s="22">
        <f t="shared" si="2"/>
        <v>0</v>
      </c>
    </row>
    <row r="193" spans="1:6" x14ac:dyDescent="0.25">
      <c r="A193" s="8">
        <v>46434</v>
      </c>
      <c r="B193" s="22">
        <f>SUMIF('Sales Log'!$A:$A,A193,'Sales Log'!$F:$F)</f>
        <v>0</v>
      </c>
      <c r="C193" s="22">
        <f>SUMIF('Sales Log'!$A:$A,A193,'Sales Log'!$G:$G)</f>
        <v>0</v>
      </c>
      <c r="D193" s="22">
        <f>SUMIF('Sales Log'!$A:$A,A193,'Sales Log'!$C:$C)</f>
        <v>0</v>
      </c>
      <c r="E193" s="22">
        <f>COUNTIF('Sales Log'!$A:$A,A193)</f>
        <v>0</v>
      </c>
      <c r="F193" s="22">
        <f t="shared" si="2"/>
        <v>0</v>
      </c>
    </row>
    <row r="194" spans="1:6" x14ac:dyDescent="0.25">
      <c r="A194" s="8">
        <v>46435</v>
      </c>
      <c r="B194" s="22">
        <f>SUMIF('Sales Log'!$A:$A,A194,'Sales Log'!$F:$F)</f>
        <v>0</v>
      </c>
      <c r="C194" s="22">
        <f>SUMIF('Sales Log'!$A:$A,A194,'Sales Log'!$G:$G)</f>
        <v>0</v>
      </c>
      <c r="D194" s="22">
        <f>SUMIF('Sales Log'!$A:$A,A194,'Sales Log'!$C:$C)</f>
        <v>0</v>
      </c>
      <c r="E194" s="22">
        <f>COUNTIF('Sales Log'!$A:$A,A194)</f>
        <v>0</v>
      </c>
      <c r="F194" s="22">
        <f t="shared" si="2"/>
        <v>0</v>
      </c>
    </row>
    <row r="195" spans="1:6" x14ac:dyDescent="0.25">
      <c r="A195" s="8">
        <v>46436</v>
      </c>
      <c r="B195" s="22">
        <f>SUMIF('Sales Log'!$A:$A,A195,'Sales Log'!$F:$F)</f>
        <v>0</v>
      </c>
      <c r="C195" s="22">
        <f>SUMIF('Sales Log'!$A:$A,A195,'Sales Log'!$G:$G)</f>
        <v>0</v>
      </c>
      <c r="D195" s="22">
        <f>SUMIF('Sales Log'!$A:$A,A195,'Sales Log'!$C:$C)</f>
        <v>0</v>
      </c>
      <c r="E195" s="22">
        <f>COUNTIF('Sales Log'!$A:$A,A195)</f>
        <v>0</v>
      </c>
      <c r="F195" s="22">
        <f t="shared" si="2"/>
        <v>0</v>
      </c>
    </row>
    <row r="196" spans="1:6" x14ac:dyDescent="0.25">
      <c r="A196" s="8">
        <v>46437</v>
      </c>
      <c r="B196" s="22">
        <f>SUMIF('Sales Log'!$A:$A,A196,'Sales Log'!$F:$F)</f>
        <v>0</v>
      </c>
      <c r="C196" s="22">
        <f>SUMIF('Sales Log'!$A:$A,A196,'Sales Log'!$G:$G)</f>
        <v>0</v>
      </c>
      <c r="D196" s="22">
        <f>SUMIF('Sales Log'!$A:$A,A196,'Sales Log'!$C:$C)</f>
        <v>0</v>
      </c>
      <c r="E196" s="22">
        <f>COUNTIF('Sales Log'!$A:$A,A196)</f>
        <v>0</v>
      </c>
      <c r="F196" s="22">
        <f t="shared" si="2"/>
        <v>0</v>
      </c>
    </row>
    <row r="197" spans="1:6" x14ac:dyDescent="0.25">
      <c r="A197" s="8">
        <v>46438</v>
      </c>
      <c r="B197" s="22">
        <f>SUMIF('Sales Log'!$A:$A,A197,'Sales Log'!$F:$F)</f>
        <v>0</v>
      </c>
      <c r="C197" s="22">
        <f>SUMIF('Sales Log'!$A:$A,A197,'Sales Log'!$G:$G)</f>
        <v>0</v>
      </c>
      <c r="D197" s="22">
        <f>SUMIF('Sales Log'!$A:$A,A197,'Sales Log'!$C:$C)</f>
        <v>0</v>
      </c>
      <c r="E197" s="22">
        <f>COUNTIF('Sales Log'!$A:$A,A197)</f>
        <v>0</v>
      </c>
      <c r="F197" s="22">
        <f t="shared" ref="F197:F260" si="3">IF(B197=0,0,C197/B197)</f>
        <v>0</v>
      </c>
    </row>
    <row r="198" spans="1:6" x14ac:dyDescent="0.25">
      <c r="A198" s="8">
        <v>46439</v>
      </c>
      <c r="B198" s="22">
        <f>SUMIF('Sales Log'!$A:$A,A198,'Sales Log'!$F:$F)</f>
        <v>0</v>
      </c>
      <c r="C198" s="22">
        <f>SUMIF('Sales Log'!$A:$A,A198,'Sales Log'!$G:$G)</f>
        <v>0</v>
      </c>
      <c r="D198" s="22">
        <f>SUMIF('Sales Log'!$A:$A,A198,'Sales Log'!$C:$C)</f>
        <v>0</v>
      </c>
      <c r="E198" s="22">
        <f>COUNTIF('Sales Log'!$A:$A,A198)</f>
        <v>0</v>
      </c>
      <c r="F198" s="22">
        <f t="shared" si="3"/>
        <v>0</v>
      </c>
    </row>
    <row r="199" spans="1:6" x14ac:dyDescent="0.25">
      <c r="A199" s="8">
        <v>46440</v>
      </c>
      <c r="B199" s="22">
        <f>SUMIF('Sales Log'!$A:$A,A199,'Sales Log'!$F:$F)</f>
        <v>0</v>
      </c>
      <c r="C199" s="22">
        <f>SUMIF('Sales Log'!$A:$A,A199,'Sales Log'!$G:$G)</f>
        <v>0</v>
      </c>
      <c r="D199" s="22">
        <f>SUMIF('Sales Log'!$A:$A,A199,'Sales Log'!$C:$C)</f>
        <v>0</v>
      </c>
      <c r="E199" s="22">
        <f>COUNTIF('Sales Log'!$A:$A,A199)</f>
        <v>0</v>
      </c>
      <c r="F199" s="22">
        <f t="shared" si="3"/>
        <v>0</v>
      </c>
    </row>
    <row r="200" spans="1:6" x14ac:dyDescent="0.25">
      <c r="A200" s="8">
        <v>46441</v>
      </c>
      <c r="B200" s="22">
        <f>SUMIF('Sales Log'!$A:$A,A200,'Sales Log'!$F:$F)</f>
        <v>0</v>
      </c>
      <c r="C200" s="22">
        <f>SUMIF('Sales Log'!$A:$A,A200,'Sales Log'!$G:$G)</f>
        <v>0</v>
      </c>
      <c r="D200" s="22">
        <f>SUMIF('Sales Log'!$A:$A,A200,'Sales Log'!$C:$C)</f>
        <v>0</v>
      </c>
      <c r="E200" s="22">
        <f>COUNTIF('Sales Log'!$A:$A,A200)</f>
        <v>0</v>
      </c>
      <c r="F200" s="22">
        <f t="shared" si="3"/>
        <v>0</v>
      </c>
    </row>
    <row r="201" spans="1:6" x14ac:dyDescent="0.25">
      <c r="A201" s="8">
        <v>46442</v>
      </c>
      <c r="B201" s="22">
        <f>SUMIF('Sales Log'!$A:$A,A201,'Sales Log'!$F:$F)</f>
        <v>0</v>
      </c>
      <c r="C201" s="22">
        <f>SUMIF('Sales Log'!$A:$A,A201,'Sales Log'!$G:$G)</f>
        <v>0</v>
      </c>
      <c r="D201" s="22">
        <f>SUMIF('Sales Log'!$A:$A,A201,'Sales Log'!$C:$C)</f>
        <v>0</v>
      </c>
      <c r="E201" s="22">
        <f>COUNTIF('Sales Log'!$A:$A,A201)</f>
        <v>0</v>
      </c>
      <c r="F201" s="22">
        <f t="shared" si="3"/>
        <v>0</v>
      </c>
    </row>
    <row r="202" spans="1:6" x14ac:dyDescent="0.25">
      <c r="A202" s="8">
        <v>46443</v>
      </c>
      <c r="B202" s="22">
        <f>SUMIF('Sales Log'!$A:$A,A202,'Sales Log'!$F:$F)</f>
        <v>0</v>
      </c>
      <c r="C202" s="22">
        <f>SUMIF('Sales Log'!$A:$A,A202,'Sales Log'!$G:$G)</f>
        <v>0</v>
      </c>
      <c r="D202" s="22">
        <f>SUMIF('Sales Log'!$A:$A,A202,'Sales Log'!$C:$C)</f>
        <v>0</v>
      </c>
      <c r="E202" s="22">
        <f>COUNTIF('Sales Log'!$A:$A,A202)</f>
        <v>0</v>
      </c>
      <c r="F202" s="22">
        <f t="shared" si="3"/>
        <v>0</v>
      </c>
    </row>
    <row r="203" spans="1:6" x14ac:dyDescent="0.25">
      <c r="A203" s="8">
        <v>46444</v>
      </c>
      <c r="B203" s="22">
        <f>SUMIF('Sales Log'!$A:$A,A203,'Sales Log'!$F:$F)</f>
        <v>0</v>
      </c>
      <c r="C203" s="22">
        <f>SUMIF('Sales Log'!$A:$A,A203,'Sales Log'!$G:$G)</f>
        <v>0</v>
      </c>
      <c r="D203" s="22">
        <f>SUMIF('Sales Log'!$A:$A,A203,'Sales Log'!$C:$C)</f>
        <v>0</v>
      </c>
      <c r="E203" s="22">
        <f>COUNTIF('Sales Log'!$A:$A,A203)</f>
        <v>0</v>
      </c>
      <c r="F203" s="22">
        <f t="shared" si="3"/>
        <v>0</v>
      </c>
    </row>
    <row r="204" spans="1:6" x14ac:dyDescent="0.25">
      <c r="A204" s="8">
        <v>46445</v>
      </c>
      <c r="B204" s="22">
        <f>SUMIF('Sales Log'!$A:$A,A204,'Sales Log'!$F:$F)</f>
        <v>0</v>
      </c>
      <c r="C204" s="22">
        <f>SUMIF('Sales Log'!$A:$A,A204,'Sales Log'!$G:$G)</f>
        <v>0</v>
      </c>
      <c r="D204" s="22">
        <f>SUMIF('Sales Log'!$A:$A,A204,'Sales Log'!$C:$C)</f>
        <v>0</v>
      </c>
      <c r="E204" s="22">
        <f>COUNTIF('Sales Log'!$A:$A,A204)</f>
        <v>0</v>
      </c>
      <c r="F204" s="22">
        <f t="shared" si="3"/>
        <v>0</v>
      </c>
    </row>
    <row r="205" spans="1:6" x14ac:dyDescent="0.25">
      <c r="A205" s="8">
        <v>46446</v>
      </c>
      <c r="B205" s="22">
        <f>SUMIF('Sales Log'!$A:$A,A205,'Sales Log'!$F:$F)</f>
        <v>0</v>
      </c>
      <c r="C205" s="22">
        <f>SUMIF('Sales Log'!$A:$A,A205,'Sales Log'!$G:$G)</f>
        <v>0</v>
      </c>
      <c r="D205" s="22">
        <f>SUMIF('Sales Log'!$A:$A,A205,'Sales Log'!$C:$C)</f>
        <v>0</v>
      </c>
      <c r="E205" s="22">
        <f>COUNTIF('Sales Log'!$A:$A,A205)</f>
        <v>0</v>
      </c>
      <c r="F205" s="22">
        <f t="shared" si="3"/>
        <v>0</v>
      </c>
    </row>
    <row r="206" spans="1:6" x14ac:dyDescent="0.25">
      <c r="A206" s="8">
        <v>46447</v>
      </c>
      <c r="B206" s="22">
        <f>SUMIF('Sales Log'!$A:$A,A206,'Sales Log'!$F:$F)</f>
        <v>0</v>
      </c>
      <c r="C206" s="22">
        <f>SUMIF('Sales Log'!$A:$A,A206,'Sales Log'!$G:$G)</f>
        <v>0</v>
      </c>
      <c r="D206" s="22">
        <f>SUMIF('Sales Log'!$A:$A,A206,'Sales Log'!$C:$C)</f>
        <v>0</v>
      </c>
      <c r="E206" s="22">
        <f>COUNTIF('Sales Log'!$A:$A,A206)</f>
        <v>0</v>
      </c>
      <c r="F206" s="22">
        <f t="shared" si="3"/>
        <v>0</v>
      </c>
    </row>
    <row r="207" spans="1:6" x14ac:dyDescent="0.25">
      <c r="A207" s="8">
        <v>46448</v>
      </c>
      <c r="B207" s="22">
        <f>SUMIF('Sales Log'!$A:$A,A207,'Sales Log'!$F:$F)</f>
        <v>0</v>
      </c>
      <c r="C207" s="22">
        <f>SUMIF('Sales Log'!$A:$A,A207,'Sales Log'!$G:$G)</f>
        <v>0</v>
      </c>
      <c r="D207" s="22">
        <f>SUMIF('Sales Log'!$A:$A,A207,'Sales Log'!$C:$C)</f>
        <v>0</v>
      </c>
      <c r="E207" s="22">
        <f>COUNTIF('Sales Log'!$A:$A,A207)</f>
        <v>0</v>
      </c>
      <c r="F207" s="22">
        <f t="shared" si="3"/>
        <v>0</v>
      </c>
    </row>
    <row r="208" spans="1:6" x14ac:dyDescent="0.25">
      <c r="A208" s="8">
        <v>46449</v>
      </c>
      <c r="B208" s="22">
        <f>SUMIF('Sales Log'!$A:$A,A208,'Sales Log'!$F:$F)</f>
        <v>0</v>
      </c>
      <c r="C208" s="22">
        <f>SUMIF('Sales Log'!$A:$A,A208,'Sales Log'!$G:$G)</f>
        <v>0</v>
      </c>
      <c r="D208" s="22">
        <f>SUMIF('Sales Log'!$A:$A,A208,'Sales Log'!$C:$C)</f>
        <v>0</v>
      </c>
      <c r="E208" s="22">
        <f>COUNTIF('Sales Log'!$A:$A,A208)</f>
        <v>0</v>
      </c>
      <c r="F208" s="22">
        <f t="shared" si="3"/>
        <v>0</v>
      </c>
    </row>
    <row r="209" spans="1:6" x14ac:dyDescent="0.25">
      <c r="A209" s="8">
        <v>46450</v>
      </c>
      <c r="B209" s="22">
        <f>SUMIF('Sales Log'!$A:$A,A209,'Sales Log'!$F:$F)</f>
        <v>0</v>
      </c>
      <c r="C209" s="22">
        <f>SUMIF('Sales Log'!$A:$A,A209,'Sales Log'!$G:$G)</f>
        <v>0</v>
      </c>
      <c r="D209" s="22">
        <f>SUMIF('Sales Log'!$A:$A,A209,'Sales Log'!$C:$C)</f>
        <v>0</v>
      </c>
      <c r="E209" s="22">
        <f>COUNTIF('Sales Log'!$A:$A,A209)</f>
        <v>0</v>
      </c>
      <c r="F209" s="22">
        <f t="shared" si="3"/>
        <v>0</v>
      </c>
    </row>
    <row r="210" spans="1:6" x14ac:dyDescent="0.25">
      <c r="A210" s="8">
        <v>46451</v>
      </c>
      <c r="B210" s="22">
        <f>SUMIF('Sales Log'!$A:$A,A210,'Sales Log'!$F:$F)</f>
        <v>0</v>
      </c>
      <c r="C210" s="22">
        <f>SUMIF('Sales Log'!$A:$A,A210,'Sales Log'!$G:$G)</f>
        <v>0</v>
      </c>
      <c r="D210" s="22">
        <f>SUMIF('Sales Log'!$A:$A,A210,'Sales Log'!$C:$C)</f>
        <v>0</v>
      </c>
      <c r="E210" s="22">
        <f>COUNTIF('Sales Log'!$A:$A,A210)</f>
        <v>0</v>
      </c>
      <c r="F210" s="22">
        <f t="shared" si="3"/>
        <v>0</v>
      </c>
    </row>
    <row r="211" spans="1:6" x14ac:dyDescent="0.25">
      <c r="A211" s="8">
        <v>46452</v>
      </c>
      <c r="B211" s="22">
        <f>SUMIF('Sales Log'!$A:$A,A211,'Sales Log'!$F:$F)</f>
        <v>0</v>
      </c>
      <c r="C211" s="22">
        <f>SUMIF('Sales Log'!$A:$A,A211,'Sales Log'!$G:$G)</f>
        <v>0</v>
      </c>
      <c r="D211" s="22">
        <f>SUMIF('Sales Log'!$A:$A,A211,'Sales Log'!$C:$C)</f>
        <v>0</v>
      </c>
      <c r="E211" s="22">
        <f>COUNTIF('Sales Log'!$A:$A,A211)</f>
        <v>0</v>
      </c>
      <c r="F211" s="22">
        <f t="shared" si="3"/>
        <v>0</v>
      </c>
    </row>
    <row r="212" spans="1:6" x14ac:dyDescent="0.25">
      <c r="A212" s="8">
        <v>46453</v>
      </c>
      <c r="B212" s="22">
        <f>SUMIF('Sales Log'!$A:$A,A212,'Sales Log'!$F:$F)</f>
        <v>0</v>
      </c>
      <c r="C212" s="22">
        <f>SUMIF('Sales Log'!$A:$A,A212,'Sales Log'!$G:$G)</f>
        <v>0</v>
      </c>
      <c r="D212" s="22">
        <f>SUMIF('Sales Log'!$A:$A,A212,'Sales Log'!$C:$C)</f>
        <v>0</v>
      </c>
      <c r="E212" s="22">
        <f>COUNTIF('Sales Log'!$A:$A,A212)</f>
        <v>0</v>
      </c>
      <c r="F212" s="22">
        <f t="shared" si="3"/>
        <v>0</v>
      </c>
    </row>
    <row r="213" spans="1:6" x14ac:dyDescent="0.25">
      <c r="A213" s="8">
        <v>46454</v>
      </c>
      <c r="B213" s="22">
        <f>SUMIF('Sales Log'!$A:$A,A213,'Sales Log'!$F:$F)</f>
        <v>0</v>
      </c>
      <c r="C213" s="22">
        <f>SUMIF('Sales Log'!$A:$A,A213,'Sales Log'!$G:$G)</f>
        <v>0</v>
      </c>
      <c r="D213" s="22">
        <f>SUMIF('Sales Log'!$A:$A,A213,'Sales Log'!$C:$C)</f>
        <v>0</v>
      </c>
      <c r="E213" s="22">
        <f>COUNTIF('Sales Log'!$A:$A,A213)</f>
        <v>0</v>
      </c>
      <c r="F213" s="22">
        <f t="shared" si="3"/>
        <v>0</v>
      </c>
    </row>
    <row r="214" spans="1:6" x14ac:dyDescent="0.25">
      <c r="A214" s="8">
        <v>46455</v>
      </c>
      <c r="B214" s="22">
        <f>SUMIF('Sales Log'!$A:$A,A214,'Sales Log'!$F:$F)</f>
        <v>0</v>
      </c>
      <c r="C214" s="22">
        <f>SUMIF('Sales Log'!$A:$A,A214,'Sales Log'!$G:$G)</f>
        <v>0</v>
      </c>
      <c r="D214" s="22">
        <f>SUMIF('Sales Log'!$A:$A,A214,'Sales Log'!$C:$C)</f>
        <v>0</v>
      </c>
      <c r="E214" s="22">
        <f>COUNTIF('Sales Log'!$A:$A,A214)</f>
        <v>0</v>
      </c>
      <c r="F214" s="22">
        <f t="shared" si="3"/>
        <v>0</v>
      </c>
    </row>
    <row r="215" spans="1:6" x14ac:dyDescent="0.25">
      <c r="A215" s="8">
        <v>46456</v>
      </c>
      <c r="B215" s="22">
        <f>SUMIF('Sales Log'!$A:$A,A215,'Sales Log'!$F:$F)</f>
        <v>0</v>
      </c>
      <c r="C215" s="22">
        <f>SUMIF('Sales Log'!$A:$A,A215,'Sales Log'!$G:$G)</f>
        <v>0</v>
      </c>
      <c r="D215" s="22">
        <f>SUMIF('Sales Log'!$A:$A,A215,'Sales Log'!$C:$C)</f>
        <v>0</v>
      </c>
      <c r="E215" s="22">
        <f>COUNTIF('Sales Log'!$A:$A,A215)</f>
        <v>0</v>
      </c>
      <c r="F215" s="22">
        <f t="shared" si="3"/>
        <v>0</v>
      </c>
    </row>
    <row r="216" spans="1:6" x14ac:dyDescent="0.25">
      <c r="A216" s="8">
        <v>46457</v>
      </c>
      <c r="B216" s="22">
        <f>SUMIF('Sales Log'!$A:$A,A216,'Sales Log'!$F:$F)</f>
        <v>0</v>
      </c>
      <c r="C216" s="22">
        <f>SUMIF('Sales Log'!$A:$A,A216,'Sales Log'!$G:$G)</f>
        <v>0</v>
      </c>
      <c r="D216" s="22">
        <f>SUMIF('Sales Log'!$A:$A,A216,'Sales Log'!$C:$C)</f>
        <v>0</v>
      </c>
      <c r="E216" s="22">
        <f>COUNTIF('Sales Log'!$A:$A,A216)</f>
        <v>0</v>
      </c>
      <c r="F216" s="22">
        <f t="shared" si="3"/>
        <v>0</v>
      </c>
    </row>
    <row r="217" spans="1:6" x14ac:dyDescent="0.25">
      <c r="A217" s="8">
        <v>46458</v>
      </c>
      <c r="B217" s="22">
        <f>SUMIF('Sales Log'!$A:$A,A217,'Sales Log'!$F:$F)</f>
        <v>0</v>
      </c>
      <c r="C217" s="22">
        <f>SUMIF('Sales Log'!$A:$A,A217,'Sales Log'!$G:$G)</f>
        <v>0</v>
      </c>
      <c r="D217" s="22">
        <f>SUMIF('Sales Log'!$A:$A,A217,'Sales Log'!$C:$C)</f>
        <v>0</v>
      </c>
      <c r="E217" s="22">
        <f>COUNTIF('Sales Log'!$A:$A,A217)</f>
        <v>0</v>
      </c>
      <c r="F217" s="22">
        <f t="shared" si="3"/>
        <v>0</v>
      </c>
    </row>
    <row r="218" spans="1:6" x14ac:dyDescent="0.25">
      <c r="A218" s="8">
        <v>46459</v>
      </c>
      <c r="B218" s="22">
        <f>SUMIF('Sales Log'!$A:$A,A218,'Sales Log'!$F:$F)</f>
        <v>0</v>
      </c>
      <c r="C218" s="22">
        <f>SUMIF('Sales Log'!$A:$A,A218,'Sales Log'!$G:$G)</f>
        <v>0</v>
      </c>
      <c r="D218" s="22">
        <f>SUMIF('Sales Log'!$A:$A,A218,'Sales Log'!$C:$C)</f>
        <v>0</v>
      </c>
      <c r="E218" s="22">
        <f>COUNTIF('Sales Log'!$A:$A,A218)</f>
        <v>0</v>
      </c>
      <c r="F218" s="22">
        <f t="shared" si="3"/>
        <v>0</v>
      </c>
    </row>
    <row r="219" spans="1:6" x14ac:dyDescent="0.25">
      <c r="A219" s="8">
        <v>46460</v>
      </c>
      <c r="B219" s="22">
        <f>SUMIF('Sales Log'!$A:$A,A219,'Sales Log'!$F:$F)</f>
        <v>0</v>
      </c>
      <c r="C219" s="22">
        <f>SUMIF('Sales Log'!$A:$A,A219,'Sales Log'!$G:$G)</f>
        <v>0</v>
      </c>
      <c r="D219" s="22">
        <f>SUMIF('Sales Log'!$A:$A,A219,'Sales Log'!$C:$C)</f>
        <v>0</v>
      </c>
      <c r="E219" s="22">
        <f>COUNTIF('Sales Log'!$A:$A,A219)</f>
        <v>0</v>
      </c>
      <c r="F219" s="22">
        <f t="shared" si="3"/>
        <v>0</v>
      </c>
    </row>
    <row r="220" spans="1:6" x14ac:dyDescent="0.25">
      <c r="A220" s="8">
        <v>46461</v>
      </c>
      <c r="B220" s="22">
        <f>SUMIF('Sales Log'!$A:$A,A220,'Sales Log'!$F:$F)</f>
        <v>0</v>
      </c>
      <c r="C220" s="22">
        <f>SUMIF('Sales Log'!$A:$A,A220,'Sales Log'!$G:$G)</f>
        <v>0</v>
      </c>
      <c r="D220" s="22">
        <f>SUMIF('Sales Log'!$A:$A,A220,'Sales Log'!$C:$C)</f>
        <v>0</v>
      </c>
      <c r="E220" s="22">
        <f>COUNTIF('Sales Log'!$A:$A,A220)</f>
        <v>0</v>
      </c>
      <c r="F220" s="22">
        <f t="shared" si="3"/>
        <v>0</v>
      </c>
    </row>
    <row r="221" spans="1:6" x14ac:dyDescent="0.25">
      <c r="A221" s="8">
        <v>46462</v>
      </c>
      <c r="B221" s="22">
        <f>SUMIF('Sales Log'!$A:$A,A221,'Sales Log'!$F:$F)</f>
        <v>0</v>
      </c>
      <c r="C221" s="22">
        <f>SUMIF('Sales Log'!$A:$A,A221,'Sales Log'!$G:$G)</f>
        <v>0</v>
      </c>
      <c r="D221" s="22">
        <f>SUMIF('Sales Log'!$A:$A,A221,'Sales Log'!$C:$C)</f>
        <v>0</v>
      </c>
      <c r="E221" s="22">
        <f>COUNTIF('Sales Log'!$A:$A,A221)</f>
        <v>0</v>
      </c>
      <c r="F221" s="22">
        <f t="shared" si="3"/>
        <v>0</v>
      </c>
    </row>
    <row r="222" spans="1:6" x14ac:dyDescent="0.25">
      <c r="A222" s="8">
        <v>46463</v>
      </c>
      <c r="B222" s="22">
        <f>SUMIF('Sales Log'!$A:$A,A222,'Sales Log'!$F:$F)</f>
        <v>0</v>
      </c>
      <c r="C222" s="22">
        <f>SUMIF('Sales Log'!$A:$A,A222,'Sales Log'!$G:$G)</f>
        <v>0</v>
      </c>
      <c r="D222" s="22">
        <f>SUMIF('Sales Log'!$A:$A,A222,'Sales Log'!$C:$C)</f>
        <v>0</v>
      </c>
      <c r="E222" s="22">
        <f>COUNTIF('Sales Log'!$A:$A,A222)</f>
        <v>0</v>
      </c>
      <c r="F222" s="22">
        <f t="shared" si="3"/>
        <v>0</v>
      </c>
    </row>
    <row r="223" spans="1:6" x14ac:dyDescent="0.25">
      <c r="A223" s="8">
        <v>46464</v>
      </c>
      <c r="B223" s="22">
        <f>SUMIF('Sales Log'!$A:$A,A223,'Sales Log'!$F:$F)</f>
        <v>0</v>
      </c>
      <c r="C223" s="22">
        <f>SUMIF('Sales Log'!$A:$A,A223,'Sales Log'!$G:$G)</f>
        <v>0</v>
      </c>
      <c r="D223" s="22">
        <f>SUMIF('Sales Log'!$A:$A,A223,'Sales Log'!$C:$C)</f>
        <v>0</v>
      </c>
      <c r="E223" s="22">
        <f>COUNTIF('Sales Log'!$A:$A,A223)</f>
        <v>0</v>
      </c>
      <c r="F223" s="22">
        <f t="shared" si="3"/>
        <v>0</v>
      </c>
    </row>
    <row r="224" spans="1:6" x14ac:dyDescent="0.25">
      <c r="A224" s="8">
        <v>46465</v>
      </c>
      <c r="B224" s="22">
        <f>SUMIF('Sales Log'!$A:$A,A224,'Sales Log'!$F:$F)</f>
        <v>0</v>
      </c>
      <c r="C224" s="22">
        <f>SUMIF('Sales Log'!$A:$A,A224,'Sales Log'!$G:$G)</f>
        <v>0</v>
      </c>
      <c r="D224" s="22">
        <f>SUMIF('Sales Log'!$A:$A,A224,'Sales Log'!$C:$C)</f>
        <v>0</v>
      </c>
      <c r="E224" s="22">
        <f>COUNTIF('Sales Log'!$A:$A,A224)</f>
        <v>0</v>
      </c>
      <c r="F224" s="22">
        <f t="shared" si="3"/>
        <v>0</v>
      </c>
    </row>
    <row r="225" spans="1:6" x14ac:dyDescent="0.25">
      <c r="A225" s="8">
        <v>46466</v>
      </c>
      <c r="B225" s="22">
        <f>SUMIF('Sales Log'!$A:$A,A225,'Sales Log'!$F:$F)</f>
        <v>0</v>
      </c>
      <c r="C225" s="22">
        <f>SUMIF('Sales Log'!$A:$A,A225,'Sales Log'!$G:$G)</f>
        <v>0</v>
      </c>
      <c r="D225" s="22">
        <f>SUMIF('Sales Log'!$A:$A,A225,'Sales Log'!$C:$C)</f>
        <v>0</v>
      </c>
      <c r="E225" s="22">
        <f>COUNTIF('Sales Log'!$A:$A,A225)</f>
        <v>0</v>
      </c>
      <c r="F225" s="22">
        <f t="shared" si="3"/>
        <v>0</v>
      </c>
    </row>
    <row r="226" spans="1:6" x14ac:dyDescent="0.25">
      <c r="A226" s="8">
        <v>46467</v>
      </c>
      <c r="B226" s="22">
        <f>SUMIF('Sales Log'!$A:$A,A226,'Sales Log'!$F:$F)</f>
        <v>0</v>
      </c>
      <c r="C226" s="22">
        <f>SUMIF('Sales Log'!$A:$A,A226,'Sales Log'!$G:$G)</f>
        <v>0</v>
      </c>
      <c r="D226" s="22">
        <f>SUMIF('Sales Log'!$A:$A,A226,'Sales Log'!$C:$C)</f>
        <v>0</v>
      </c>
      <c r="E226" s="22">
        <f>COUNTIF('Sales Log'!$A:$A,A226)</f>
        <v>0</v>
      </c>
      <c r="F226" s="22">
        <f t="shared" si="3"/>
        <v>0</v>
      </c>
    </row>
    <row r="227" spans="1:6" x14ac:dyDescent="0.25">
      <c r="A227" s="8">
        <v>46468</v>
      </c>
      <c r="B227" s="22">
        <f>SUMIF('Sales Log'!$A:$A,A227,'Sales Log'!$F:$F)</f>
        <v>0</v>
      </c>
      <c r="C227" s="22">
        <f>SUMIF('Sales Log'!$A:$A,A227,'Sales Log'!$G:$G)</f>
        <v>0</v>
      </c>
      <c r="D227" s="22">
        <f>SUMIF('Sales Log'!$A:$A,A227,'Sales Log'!$C:$C)</f>
        <v>0</v>
      </c>
      <c r="E227" s="22">
        <f>COUNTIF('Sales Log'!$A:$A,A227)</f>
        <v>0</v>
      </c>
      <c r="F227" s="22">
        <f t="shared" si="3"/>
        <v>0</v>
      </c>
    </row>
    <row r="228" spans="1:6" x14ac:dyDescent="0.25">
      <c r="A228" s="8">
        <v>46469</v>
      </c>
      <c r="B228" s="22">
        <f>SUMIF('Sales Log'!$A:$A,A228,'Sales Log'!$F:$F)</f>
        <v>0</v>
      </c>
      <c r="C228" s="22">
        <f>SUMIF('Sales Log'!$A:$A,A228,'Sales Log'!$G:$G)</f>
        <v>0</v>
      </c>
      <c r="D228" s="22">
        <f>SUMIF('Sales Log'!$A:$A,A228,'Sales Log'!$C:$C)</f>
        <v>0</v>
      </c>
      <c r="E228" s="22">
        <f>COUNTIF('Sales Log'!$A:$A,A228)</f>
        <v>0</v>
      </c>
      <c r="F228" s="22">
        <f t="shared" si="3"/>
        <v>0</v>
      </c>
    </row>
    <row r="229" spans="1:6" x14ac:dyDescent="0.25">
      <c r="A229" s="8">
        <v>46470</v>
      </c>
      <c r="B229" s="22">
        <f>SUMIF('Sales Log'!$A:$A,A229,'Sales Log'!$F:$F)</f>
        <v>0</v>
      </c>
      <c r="C229" s="22">
        <f>SUMIF('Sales Log'!$A:$A,A229,'Sales Log'!$G:$G)</f>
        <v>0</v>
      </c>
      <c r="D229" s="22">
        <f>SUMIF('Sales Log'!$A:$A,A229,'Sales Log'!$C:$C)</f>
        <v>0</v>
      </c>
      <c r="E229" s="22">
        <f>COUNTIF('Sales Log'!$A:$A,A229)</f>
        <v>0</v>
      </c>
      <c r="F229" s="22">
        <f t="shared" si="3"/>
        <v>0</v>
      </c>
    </row>
    <row r="230" spans="1:6" x14ac:dyDescent="0.25">
      <c r="A230" s="8">
        <v>46471</v>
      </c>
      <c r="B230" s="22">
        <f>SUMIF('Sales Log'!$A:$A,A230,'Sales Log'!$F:$F)</f>
        <v>0</v>
      </c>
      <c r="C230" s="22">
        <f>SUMIF('Sales Log'!$A:$A,A230,'Sales Log'!$G:$G)</f>
        <v>0</v>
      </c>
      <c r="D230" s="22">
        <f>SUMIF('Sales Log'!$A:$A,A230,'Sales Log'!$C:$C)</f>
        <v>0</v>
      </c>
      <c r="E230" s="22">
        <f>COUNTIF('Sales Log'!$A:$A,A230)</f>
        <v>0</v>
      </c>
      <c r="F230" s="22">
        <f t="shared" si="3"/>
        <v>0</v>
      </c>
    </row>
    <row r="231" spans="1:6" x14ac:dyDescent="0.25">
      <c r="A231" s="8">
        <v>46472</v>
      </c>
      <c r="B231" s="22">
        <f>SUMIF('Sales Log'!$A:$A,A231,'Sales Log'!$F:$F)</f>
        <v>0</v>
      </c>
      <c r="C231" s="22">
        <f>SUMIF('Sales Log'!$A:$A,A231,'Sales Log'!$G:$G)</f>
        <v>0</v>
      </c>
      <c r="D231" s="22">
        <f>SUMIF('Sales Log'!$A:$A,A231,'Sales Log'!$C:$C)</f>
        <v>0</v>
      </c>
      <c r="E231" s="22">
        <f>COUNTIF('Sales Log'!$A:$A,A231)</f>
        <v>0</v>
      </c>
      <c r="F231" s="22">
        <f t="shared" si="3"/>
        <v>0</v>
      </c>
    </row>
    <row r="232" spans="1:6" x14ac:dyDescent="0.25">
      <c r="A232" s="8">
        <v>46473</v>
      </c>
      <c r="B232" s="22">
        <f>SUMIF('Sales Log'!$A:$A,A232,'Sales Log'!$F:$F)</f>
        <v>0</v>
      </c>
      <c r="C232" s="22">
        <f>SUMIF('Sales Log'!$A:$A,A232,'Sales Log'!$G:$G)</f>
        <v>0</v>
      </c>
      <c r="D232" s="22">
        <f>SUMIF('Sales Log'!$A:$A,A232,'Sales Log'!$C:$C)</f>
        <v>0</v>
      </c>
      <c r="E232" s="22">
        <f>COUNTIF('Sales Log'!$A:$A,A232)</f>
        <v>0</v>
      </c>
      <c r="F232" s="22">
        <f t="shared" si="3"/>
        <v>0</v>
      </c>
    </row>
    <row r="233" spans="1:6" x14ac:dyDescent="0.25">
      <c r="A233" s="8">
        <v>46474</v>
      </c>
      <c r="B233" s="22">
        <f>SUMIF('Sales Log'!$A:$A,A233,'Sales Log'!$F:$F)</f>
        <v>0</v>
      </c>
      <c r="C233" s="22">
        <f>SUMIF('Sales Log'!$A:$A,A233,'Sales Log'!$G:$G)</f>
        <v>0</v>
      </c>
      <c r="D233" s="22">
        <f>SUMIF('Sales Log'!$A:$A,A233,'Sales Log'!$C:$C)</f>
        <v>0</v>
      </c>
      <c r="E233" s="22">
        <f>COUNTIF('Sales Log'!$A:$A,A233)</f>
        <v>0</v>
      </c>
      <c r="F233" s="22">
        <f t="shared" si="3"/>
        <v>0</v>
      </c>
    </row>
    <row r="234" spans="1:6" x14ac:dyDescent="0.25">
      <c r="A234" s="8">
        <v>46475</v>
      </c>
      <c r="B234" s="22">
        <f>SUMIF('Sales Log'!$A:$A,A234,'Sales Log'!$F:$F)</f>
        <v>0</v>
      </c>
      <c r="C234" s="22">
        <f>SUMIF('Sales Log'!$A:$A,A234,'Sales Log'!$G:$G)</f>
        <v>0</v>
      </c>
      <c r="D234" s="22">
        <f>SUMIF('Sales Log'!$A:$A,A234,'Sales Log'!$C:$C)</f>
        <v>0</v>
      </c>
      <c r="E234" s="22">
        <f>COUNTIF('Sales Log'!$A:$A,A234)</f>
        <v>0</v>
      </c>
      <c r="F234" s="22">
        <f t="shared" si="3"/>
        <v>0</v>
      </c>
    </row>
    <row r="235" spans="1:6" x14ac:dyDescent="0.25">
      <c r="A235" s="8">
        <v>46476</v>
      </c>
      <c r="B235" s="22">
        <f>SUMIF('Sales Log'!$A:$A,A235,'Sales Log'!$F:$F)</f>
        <v>0</v>
      </c>
      <c r="C235" s="22">
        <f>SUMIF('Sales Log'!$A:$A,A235,'Sales Log'!$G:$G)</f>
        <v>0</v>
      </c>
      <c r="D235" s="22">
        <f>SUMIF('Sales Log'!$A:$A,A235,'Sales Log'!$C:$C)</f>
        <v>0</v>
      </c>
      <c r="E235" s="22">
        <f>COUNTIF('Sales Log'!$A:$A,A235)</f>
        <v>0</v>
      </c>
      <c r="F235" s="22">
        <f t="shared" si="3"/>
        <v>0</v>
      </c>
    </row>
    <row r="236" spans="1:6" x14ac:dyDescent="0.25">
      <c r="A236" s="8">
        <v>46477</v>
      </c>
      <c r="B236" s="22">
        <f>SUMIF('Sales Log'!$A:$A,A236,'Sales Log'!$F:$F)</f>
        <v>0</v>
      </c>
      <c r="C236" s="22">
        <f>SUMIF('Sales Log'!$A:$A,A236,'Sales Log'!$G:$G)</f>
        <v>0</v>
      </c>
      <c r="D236" s="22">
        <f>SUMIF('Sales Log'!$A:$A,A236,'Sales Log'!$C:$C)</f>
        <v>0</v>
      </c>
      <c r="E236" s="22">
        <f>COUNTIF('Sales Log'!$A:$A,A236)</f>
        <v>0</v>
      </c>
      <c r="F236" s="22">
        <f t="shared" si="3"/>
        <v>0</v>
      </c>
    </row>
    <row r="237" spans="1:6" x14ac:dyDescent="0.25">
      <c r="A237" s="8">
        <v>46478</v>
      </c>
      <c r="B237" s="22">
        <f>SUMIF('Sales Log'!$A:$A,A237,'Sales Log'!$F:$F)</f>
        <v>0</v>
      </c>
      <c r="C237" s="22">
        <f>SUMIF('Sales Log'!$A:$A,A237,'Sales Log'!$G:$G)</f>
        <v>0</v>
      </c>
      <c r="D237" s="22">
        <f>SUMIF('Sales Log'!$A:$A,A237,'Sales Log'!$C:$C)</f>
        <v>0</v>
      </c>
      <c r="E237" s="22">
        <f>COUNTIF('Sales Log'!$A:$A,A237)</f>
        <v>0</v>
      </c>
      <c r="F237" s="22">
        <f t="shared" si="3"/>
        <v>0</v>
      </c>
    </row>
    <row r="238" spans="1:6" x14ac:dyDescent="0.25">
      <c r="A238" s="8">
        <v>46479</v>
      </c>
      <c r="B238" s="22">
        <f>SUMIF('Sales Log'!$A:$A,A238,'Sales Log'!$F:$F)</f>
        <v>0</v>
      </c>
      <c r="C238" s="22">
        <f>SUMIF('Sales Log'!$A:$A,A238,'Sales Log'!$G:$G)</f>
        <v>0</v>
      </c>
      <c r="D238" s="22">
        <f>SUMIF('Sales Log'!$A:$A,A238,'Sales Log'!$C:$C)</f>
        <v>0</v>
      </c>
      <c r="E238" s="22">
        <f>COUNTIF('Sales Log'!$A:$A,A238)</f>
        <v>0</v>
      </c>
      <c r="F238" s="22">
        <f t="shared" si="3"/>
        <v>0</v>
      </c>
    </row>
    <row r="239" spans="1:6" x14ac:dyDescent="0.25">
      <c r="A239" s="8">
        <v>46480</v>
      </c>
      <c r="B239" s="22">
        <f>SUMIF('Sales Log'!$A:$A,A239,'Sales Log'!$F:$F)</f>
        <v>0</v>
      </c>
      <c r="C239" s="22">
        <f>SUMIF('Sales Log'!$A:$A,A239,'Sales Log'!$G:$G)</f>
        <v>0</v>
      </c>
      <c r="D239" s="22">
        <f>SUMIF('Sales Log'!$A:$A,A239,'Sales Log'!$C:$C)</f>
        <v>0</v>
      </c>
      <c r="E239" s="22">
        <f>COUNTIF('Sales Log'!$A:$A,A239)</f>
        <v>0</v>
      </c>
      <c r="F239" s="22">
        <f t="shared" si="3"/>
        <v>0</v>
      </c>
    </row>
    <row r="240" spans="1:6" x14ac:dyDescent="0.25">
      <c r="A240" s="8">
        <v>46481</v>
      </c>
      <c r="B240" s="22">
        <f>SUMIF('Sales Log'!$A:$A,A240,'Sales Log'!$F:$F)</f>
        <v>0</v>
      </c>
      <c r="C240" s="22">
        <f>SUMIF('Sales Log'!$A:$A,A240,'Sales Log'!$G:$G)</f>
        <v>0</v>
      </c>
      <c r="D240" s="22">
        <f>SUMIF('Sales Log'!$A:$A,A240,'Sales Log'!$C:$C)</f>
        <v>0</v>
      </c>
      <c r="E240" s="22">
        <f>COUNTIF('Sales Log'!$A:$A,A240)</f>
        <v>0</v>
      </c>
      <c r="F240" s="22">
        <f t="shared" si="3"/>
        <v>0</v>
      </c>
    </row>
    <row r="241" spans="1:6" x14ac:dyDescent="0.25">
      <c r="A241" s="8">
        <v>46482</v>
      </c>
      <c r="B241" s="22">
        <f>SUMIF('Sales Log'!$A:$A,A241,'Sales Log'!$F:$F)</f>
        <v>0</v>
      </c>
      <c r="C241" s="22">
        <f>SUMIF('Sales Log'!$A:$A,A241,'Sales Log'!$G:$G)</f>
        <v>0</v>
      </c>
      <c r="D241" s="22">
        <f>SUMIF('Sales Log'!$A:$A,A241,'Sales Log'!$C:$C)</f>
        <v>0</v>
      </c>
      <c r="E241" s="22">
        <f>COUNTIF('Sales Log'!$A:$A,A241)</f>
        <v>0</v>
      </c>
      <c r="F241" s="22">
        <f t="shared" si="3"/>
        <v>0</v>
      </c>
    </row>
    <row r="242" spans="1:6" x14ac:dyDescent="0.25">
      <c r="A242" s="8">
        <v>46483</v>
      </c>
      <c r="B242" s="22">
        <f>SUMIF('Sales Log'!$A:$A,A242,'Sales Log'!$F:$F)</f>
        <v>0</v>
      </c>
      <c r="C242" s="22">
        <f>SUMIF('Sales Log'!$A:$A,A242,'Sales Log'!$G:$G)</f>
        <v>0</v>
      </c>
      <c r="D242" s="22">
        <f>SUMIF('Sales Log'!$A:$A,A242,'Sales Log'!$C:$C)</f>
        <v>0</v>
      </c>
      <c r="E242" s="22">
        <f>COUNTIF('Sales Log'!$A:$A,A242)</f>
        <v>0</v>
      </c>
      <c r="F242" s="22">
        <f t="shared" si="3"/>
        <v>0</v>
      </c>
    </row>
    <row r="243" spans="1:6" x14ac:dyDescent="0.25">
      <c r="A243" s="8">
        <v>46484</v>
      </c>
      <c r="B243" s="22">
        <f>SUMIF('Sales Log'!$A:$A,A243,'Sales Log'!$F:$F)</f>
        <v>0</v>
      </c>
      <c r="C243" s="22">
        <f>SUMIF('Sales Log'!$A:$A,A243,'Sales Log'!$G:$G)</f>
        <v>0</v>
      </c>
      <c r="D243" s="22">
        <f>SUMIF('Sales Log'!$A:$A,A243,'Sales Log'!$C:$C)</f>
        <v>0</v>
      </c>
      <c r="E243" s="22">
        <f>COUNTIF('Sales Log'!$A:$A,A243)</f>
        <v>0</v>
      </c>
      <c r="F243" s="22">
        <f t="shared" si="3"/>
        <v>0</v>
      </c>
    </row>
    <row r="244" spans="1:6" x14ac:dyDescent="0.25">
      <c r="A244" s="8">
        <v>46485</v>
      </c>
      <c r="B244" s="22">
        <f>SUMIF('Sales Log'!$A:$A,A244,'Sales Log'!$F:$F)</f>
        <v>0</v>
      </c>
      <c r="C244" s="22">
        <f>SUMIF('Sales Log'!$A:$A,A244,'Sales Log'!$G:$G)</f>
        <v>0</v>
      </c>
      <c r="D244" s="22">
        <f>SUMIF('Sales Log'!$A:$A,A244,'Sales Log'!$C:$C)</f>
        <v>0</v>
      </c>
      <c r="E244" s="22">
        <f>COUNTIF('Sales Log'!$A:$A,A244)</f>
        <v>0</v>
      </c>
      <c r="F244" s="22">
        <f t="shared" si="3"/>
        <v>0</v>
      </c>
    </row>
    <row r="245" spans="1:6" x14ac:dyDescent="0.25">
      <c r="A245" s="8">
        <v>46486</v>
      </c>
      <c r="B245" s="22">
        <f>SUMIF('Sales Log'!$A:$A,A245,'Sales Log'!$F:$F)</f>
        <v>0</v>
      </c>
      <c r="C245" s="22">
        <f>SUMIF('Sales Log'!$A:$A,A245,'Sales Log'!$G:$G)</f>
        <v>0</v>
      </c>
      <c r="D245" s="22">
        <f>SUMIF('Sales Log'!$A:$A,A245,'Sales Log'!$C:$C)</f>
        <v>0</v>
      </c>
      <c r="E245" s="22">
        <f>COUNTIF('Sales Log'!$A:$A,A245)</f>
        <v>0</v>
      </c>
      <c r="F245" s="22">
        <f t="shared" si="3"/>
        <v>0</v>
      </c>
    </row>
    <row r="246" spans="1:6" x14ac:dyDescent="0.25">
      <c r="A246" s="8">
        <v>46487</v>
      </c>
      <c r="B246" s="22">
        <f>SUMIF('Sales Log'!$A:$A,A246,'Sales Log'!$F:$F)</f>
        <v>0</v>
      </c>
      <c r="C246" s="22">
        <f>SUMIF('Sales Log'!$A:$A,A246,'Sales Log'!$G:$G)</f>
        <v>0</v>
      </c>
      <c r="D246" s="22">
        <f>SUMIF('Sales Log'!$A:$A,A246,'Sales Log'!$C:$C)</f>
        <v>0</v>
      </c>
      <c r="E246" s="22">
        <f>COUNTIF('Sales Log'!$A:$A,A246)</f>
        <v>0</v>
      </c>
      <c r="F246" s="22">
        <f t="shared" si="3"/>
        <v>0</v>
      </c>
    </row>
    <row r="247" spans="1:6" x14ac:dyDescent="0.25">
      <c r="A247" s="8">
        <v>46488</v>
      </c>
      <c r="B247" s="22">
        <f>SUMIF('Sales Log'!$A:$A,A247,'Sales Log'!$F:$F)</f>
        <v>0</v>
      </c>
      <c r="C247" s="22">
        <f>SUMIF('Sales Log'!$A:$A,A247,'Sales Log'!$G:$G)</f>
        <v>0</v>
      </c>
      <c r="D247" s="22">
        <f>SUMIF('Sales Log'!$A:$A,A247,'Sales Log'!$C:$C)</f>
        <v>0</v>
      </c>
      <c r="E247" s="22">
        <f>COUNTIF('Sales Log'!$A:$A,A247)</f>
        <v>0</v>
      </c>
      <c r="F247" s="22">
        <f t="shared" si="3"/>
        <v>0</v>
      </c>
    </row>
    <row r="248" spans="1:6" x14ac:dyDescent="0.25">
      <c r="A248" s="8">
        <v>46489</v>
      </c>
      <c r="B248" s="22">
        <f>SUMIF('Sales Log'!$A:$A,A248,'Sales Log'!$F:$F)</f>
        <v>0</v>
      </c>
      <c r="C248" s="22">
        <f>SUMIF('Sales Log'!$A:$A,A248,'Sales Log'!$G:$G)</f>
        <v>0</v>
      </c>
      <c r="D248" s="22">
        <f>SUMIF('Sales Log'!$A:$A,A248,'Sales Log'!$C:$C)</f>
        <v>0</v>
      </c>
      <c r="E248" s="22">
        <f>COUNTIF('Sales Log'!$A:$A,A248)</f>
        <v>0</v>
      </c>
      <c r="F248" s="22">
        <f t="shared" si="3"/>
        <v>0</v>
      </c>
    </row>
    <row r="249" spans="1:6" x14ac:dyDescent="0.25">
      <c r="A249" s="8">
        <v>46490</v>
      </c>
      <c r="B249" s="22">
        <f>SUMIF('Sales Log'!$A:$A,A249,'Sales Log'!$F:$F)</f>
        <v>0</v>
      </c>
      <c r="C249" s="22">
        <f>SUMIF('Sales Log'!$A:$A,A249,'Sales Log'!$G:$G)</f>
        <v>0</v>
      </c>
      <c r="D249" s="22">
        <f>SUMIF('Sales Log'!$A:$A,A249,'Sales Log'!$C:$C)</f>
        <v>0</v>
      </c>
      <c r="E249" s="22">
        <f>COUNTIF('Sales Log'!$A:$A,A249)</f>
        <v>0</v>
      </c>
      <c r="F249" s="22">
        <f t="shared" si="3"/>
        <v>0</v>
      </c>
    </row>
    <row r="250" spans="1:6" x14ac:dyDescent="0.25">
      <c r="A250" s="8">
        <v>46491</v>
      </c>
      <c r="B250" s="22">
        <f>SUMIF('Sales Log'!$A:$A,A250,'Sales Log'!$F:$F)</f>
        <v>0</v>
      </c>
      <c r="C250" s="22">
        <f>SUMIF('Sales Log'!$A:$A,A250,'Sales Log'!$G:$G)</f>
        <v>0</v>
      </c>
      <c r="D250" s="22">
        <f>SUMIF('Sales Log'!$A:$A,A250,'Sales Log'!$C:$C)</f>
        <v>0</v>
      </c>
      <c r="E250" s="22">
        <f>COUNTIF('Sales Log'!$A:$A,A250)</f>
        <v>0</v>
      </c>
      <c r="F250" s="22">
        <f t="shared" si="3"/>
        <v>0</v>
      </c>
    </row>
    <row r="251" spans="1:6" x14ac:dyDescent="0.25">
      <c r="A251" s="8">
        <v>46492</v>
      </c>
      <c r="B251" s="22">
        <f>SUMIF('Sales Log'!$A:$A,A251,'Sales Log'!$F:$F)</f>
        <v>0</v>
      </c>
      <c r="C251" s="22">
        <f>SUMIF('Sales Log'!$A:$A,A251,'Sales Log'!$G:$G)</f>
        <v>0</v>
      </c>
      <c r="D251" s="22">
        <f>SUMIF('Sales Log'!$A:$A,A251,'Sales Log'!$C:$C)</f>
        <v>0</v>
      </c>
      <c r="E251" s="22">
        <f>COUNTIF('Sales Log'!$A:$A,A251)</f>
        <v>0</v>
      </c>
      <c r="F251" s="22">
        <f t="shared" si="3"/>
        <v>0</v>
      </c>
    </row>
    <row r="252" spans="1:6" x14ac:dyDescent="0.25">
      <c r="A252" s="8">
        <v>46493</v>
      </c>
      <c r="B252" s="22">
        <f>SUMIF('Sales Log'!$A:$A,A252,'Sales Log'!$F:$F)</f>
        <v>0</v>
      </c>
      <c r="C252" s="22">
        <f>SUMIF('Sales Log'!$A:$A,A252,'Sales Log'!$G:$G)</f>
        <v>0</v>
      </c>
      <c r="D252" s="22">
        <f>SUMIF('Sales Log'!$A:$A,A252,'Sales Log'!$C:$C)</f>
        <v>0</v>
      </c>
      <c r="E252" s="22">
        <f>COUNTIF('Sales Log'!$A:$A,A252)</f>
        <v>0</v>
      </c>
      <c r="F252" s="22">
        <f t="shared" si="3"/>
        <v>0</v>
      </c>
    </row>
    <row r="253" spans="1:6" x14ac:dyDescent="0.25">
      <c r="A253" s="8">
        <v>46494</v>
      </c>
      <c r="B253" s="22">
        <f>SUMIF('Sales Log'!$A:$A,A253,'Sales Log'!$F:$F)</f>
        <v>0</v>
      </c>
      <c r="C253" s="22">
        <f>SUMIF('Sales Log'!$A:$A,A253,'Sales Log'!$G:$G)</f>
        <v>0</v>
      </c>
      <c r="D253" s="22">
        <f>SUMIF('Sales Log'!$A:$A,A253,'Sales Log'!$C:$C)</f>
        <v>0</v>
      </c>
      <c r="E253" s="22">
        <f>COUNTIF('Sales Log'!$A:$A,A253)</f>
        <v>0</v>
      </c>
      <c r="F253" s="22">
        <f t="shared" si="3"/>
        <v>0</v>
      </c>
    </row>
    <row r="254" spans="1:6" x14ac:dyDescent="0.25">
      <c r="A254" s="8">
        <v>46495</v>
      </c>
      <c r="B254" s="22">
        <f>SUMIF('Sales Log'!$A:$A,A254,'Sales Log'!$F:$F)</f>
        <v>0</v>
      </c>
      <c r="C254" s="22">
        <f>SUMIF('Sales Log'!$A:$A,A254,'Sales Log'!$G:$G)</f>
        <v>0</v>
      </c>
      <c r="D254" s="22">
        <f>SUMIF('Sales Log'!$A:$A,A254,'Sales Log'!$C:$C)</f>
        <v>0</v>
      </c>
      <c r="E254" s="22">
        <f>COUNTIF('Sales Log'!$A:$A,A254)</f>
        <v>0</v>
      </c>
      <c r="F254" s="22">
        <f t="shared" si="3"/>
        <v>0</v>
      </c>
    </row>
    <row r="255" spans="1:6" x14ac:dyDescent="0.25">
      <c r="A255" s="8">
        <v>46496</v>
      </c>
      <c r="B255" s="22">
        <f>SUMIF('Sales Log'!$A:$A,A255,'Sales Log'!$F:$F)</f>
        <v>0</v>
      </c>
      <c r="C255" s="22">
        <f>SUMIF('Sales Log'!$A:$A,A255,'Sales Log'!$G:$G)</f>
        <v>0</v>
      </c>
      <c r="D255" s="22">
        <f>SUMIF('Sales Log'!$A:$A,A255,'Sales Log'!$C:$C)</f>
        <v>0</v>
      </c>
      <c r="E255" s="22">
        <f>COUNTIF('Sales Log'!$A:$A,A255)</f>
        <v>0</v>
      </c>
      <c r="F255" s="22">
        <f t="shared" si="3"/>
        <v>0</v>
      </c>
    </row>
    <row r="256" spans="1:6" x14ac:dyDescent="0.25">
      <c r="A256" s="8">
        <v>46497</v>
      </c>
      <c r="B256" s="22">
        <f>SUMIF('Sales Log'!$A:$A,A256,'Sales Log'!$F:$F)</f>
        <v>0</v>
      </c>
      <c r="C256" s="22">
        <f>SUMIF('Sales Log'!$A:$A,A256,'Sales Log'!$G:$G)</f>
        <v>0</v>
      </c>
      <c r="D256" s="22">
        <f>SUMIF('Sales Log'!$A:$A,A256,'Sales Log'!$C:$C)</f>
        <v>0</v>
      </c>
      <c r="E256" s="22">
        <f>COUNTIF('Sales Log'!$A:$A,A256)</f>
        <v>0</v>
      </c>
      <c r="F256" s="22">
        <f t="shared" si="3"/>
        <v>0</v>
      </c>
    </row>
    <row r="257" spans="1:6" x14ac:dyDescent="0.25">
      <c r="A257" s="8">
        <v>46498</v>
      </c>
      <c r="B257" s="22">
        <f>SUMIF('Sales Log'!$A:$A,A257,'Sales Log'!$F:$F)</f>
        <v>0</v>
      </c>
      <c r="C257" s="22">
        <f>SUMIF('Sales Log'!$A:$A,A257,'Sales Log'!$G:$G)</f>
        <v>0</v>
      </c>
      <c r="D257" s="22">
        <f>SUMIF('Sales Log'!$A:$A,A257,'Sales Log'!$C:$C)</f>
        <v>0</v>
      </c>
      <c r="E257" s="22">
        <f>COUNTIF('Sales Log'!$A:$A,A257)</f>
        <v>0</v>
      </c>
      <c r="F257" s="22">
        <f t="shared" si="3"/>
        <v>0</v>
      </c>
    </row>
    <row r="258" spans="1:6" x14ac:dyDescent="0.25">
      <c r="A258" s="8">
        <v>46499</v>
      </c>
      <c r="B258" s="22">
        <f>SUMIF('Sales Log'!$A:$A,A258,'Sales Log'!$F:$F)</f>
        <v>0</v>
      </c>
      <c r="C258" s="22">
        <f>SUMIF('Sales Log'!$A:$A,A258,'Sales Log'!$G:$G)</f>
        <v>0</v>
      </c>
      <c r="D258" s="22">
        <f>SUMIF('Sales Log'!$A:$A,A258,'Sales Log'!$C:$C)</f>
        <v>0</v>
      </c>
      <c r="E258" s="22">
        <f>COUNTIF('Sales Log'!$A:$A,A258)</f>
        <v>0</v>
      </c>
      <c r="F258" s="22">
        <f t="shared" si="3"/>
        <v>0</v>
      </c>
    </row>
    <row r="259" spans="1:6" x14ac:dyDescent="0.25">
      <c r="A259" s="8">
        <v>46500</v>
      </c>
      <c r="B259" s="22">
        <f>SUMIF('Sales Log'!$A:$A,A259,'Sales Log'!$F:$F)</f>
        <v>0</v>
      </c>
      <c r="C259" s="22">
        <f>SUMIF('Sales Log'!$A:$A,A259,'Sales Log'!$G:$G)</f>
        <v>0</v>
      </c>
      <c r="D259" s="22">
        <f>SUMIF('Sales Log'!$A:$A,A259,'Sales Log'!$C:$C)</f>
        <v>0</v>
      </c>
      <c r="E259" s="22">
        <f>COUNTIF('Sales Log'!$A:$A,A259)</f>
        <v>0</v>
      </c>
      <c r="F259" s="22">
        <f t="shared" si="3"/>
        <v>0</v>
      </c>
    </row>
    <row r="260" spans="1:6" x14ac:dyDescent="0.25">
      <c r="A260" s="8">
        <v>46501</v>
      </c>
      <c r="B260" s="22">
        <f>SUMIF('Sales Log'!$A:$A,A260,'Sales Log'!$F:$F)</f>
        <v>0</v>
      </c>
      <c r="C260" s="22">
        <f>SUMIF('Sales Log'!$A:$A,A260,'Sales Log'!$G:$G)</f>
        <v>0</v>
      </c>
      <c r="D260" s="22">
        <f>SUMIF('Sales Log'!$A:$A,A260,'Sales Log'!$C:$C)</f>
        <v>0</v>
      </c>
      <c r="E260" s="22">
        <f>COUNTIF('Sales Log'!$A:$A,A260)</f>
        <v>0</v>
      </c>
      <c r="F260" s="22">
        <f t="shared" si="3"/>
        <v>0</v>
      </c>
    </row>
    <row r="261" spans="1:6" x14ac:dyDescent="0.25">
      <c r="A261" s="8">
        <v>46502</v>
      </c>
      <c r="B261" s="22">
        <f>SUMIF('Sales Log'!$A:$A,A261,'Sales Log'!$F:$F)</f>
        <v>0</v>
      </c>
      <c r="C261" s="22">
        <f>SUMIF('Sales Log'!$A:$A,A261,'Sales Log'!$G:$G)</f>
        <v>0</v>
      </c>
      <c r="D261" s="22">
        <f>SUMIF('Sales Log'!$A:$A,A261,'Sales Log'!$C:$C)</f>
        <v>0</v>
      </c>
      <c r="E261" s="22">
        <f>COUNTIF('Sales Log'!$A:$A,A261)</f>
        <v>0</v>
      </c>
      <c r="F261" s="22">
        <f t="shared" ref="F261:F324" si="4">IF(B261=0,0,C261/B261)</f>
        <v>0</v>
      </c>
    </row>
    <row r="262" spans="1:6" x14ac:dyDescent="0.25">
      <c r="A262" s="8">
        <v>46503</v>
      </c>
      <c r="B262" s="22">
        <f>SUMIF('Sales Log'!$A:$A,A262,'Sales Log'!$F:$F)</f>
        <v>0</v>
      </c>
      <c r="C262" s="22">
        <f>SUMIF('Sales Log'!$A:$A,A262,'Sales Log'!$G:$G)</f>
        <v>0</v>
      </c>
      <c r="D262" s="22">
        <f>SUMIF('Sales Log'!$A:$A,A262,'Sales Log'!$C:$C)</f>
        <v>0</v>
      </c>
      <c r="E262" s="22">
        <f>COUNTIF('Sales Log'!$A:$A,A262)</f>
        <v>0</v>
      </c>
      <c r="F262" s="22">
        <f t="shared" si="4"/>
        <v>0</v>
      </c>
    </row>
    <row r="263" spans="1:6" x14ac:dyDescent="0.25">
      <c r="A263" s="8">
        <v>46504</v>
      </c>
      <c r="B263" s="22">
        <f>SUMIF('Sales Log'!$A:$A,A263,'Sales Log'!$F:$F)</f>
        <v>0</v>
      </c>
      <c r="C263" s="22">
        <f>SUMIF('Sales Log'!$A:$A,A263,'Sales Log'!$G:$G)</f>
        <v>0</v>
      </c>
      <c r="D263" s="22">
        <f>SUMIF('Sales Log'!$A:$A,A263,'Sales Log'!$C:$C)</f>
        <v>0</v>
      </c>
      <c r="E263" s="22">
        <f>COUNTIF('Sales Log'!$A:$A,A263)</f>
        <v>0</v>
      </c>
      <c r="F263" s="22">
        <f t="shared" si="4"/>
        <v>0</v>
      </c>
    </row>
    <row r="264" spans="1:6" x14ac:dyDescent="0.25">
      <c r="A264" s="8">
        <v>46505</v>
      </c>
      <c r="B264" s="22">
        <f>SUMIF('Sales Log'!$A:$A,A264,'Sales Log'!$F:$F)</f>
        <v>0</v>
      </c>
      <c r="C264" s="22">
        <f>SUMIF('Sales Log'!$A:$A,A264,'Sales Log'!$G:$G)</f>
        <v>0</v>
      </c>
      <c r="D264" s="22">
        <f>SUMIF('Sales Log'!$A:$A,A264,'Sales Log'!$C:$C)</f>
        <v>0</v>
      </c>
      <c r="E264" s="22">
        <f>COUNTIF('Sales Log'!$A:$A,A264)</f>
        <v>0</v>
      </c>
      <c r="F264" s="22">
        <f t="shared" si="4"/>
        <v>0</v>
      </c>
    </row>
    <row r="265" spans="1:6" x14ac:dyDescent="0.25">
      <c r="A265" s="8">
        <v>46506</v>
      </c>
      <c r="B265" s="22">
        <f>SUMIF('Sales Log'!$A:$A,A265,'Sales Log'!$F:$F)</f>
        <v>0</v>
      </c>
      <c r="C265" s="22">
        <f>SUMIF('Sales Log'!$A:$A,A265,'Sales Log'!$G:$G)</f>
        <v>0</v>
      </c>
      <c r="D265" s="22">
        <f>SUMIF('Sales Log'!$A:$A,A265,'Sales Log'!$C:$C)</f>
        <v>0</v>
      </c>
      <c r="E265" s="22">
        <f>COUNTIF('Sales Log'!$A:$A,A265)</f>
        <v>0</v>
      </c>
      <c r="F265" s="22">
        <f t="shared" si="4"/>
        <v>0</v>
      </c>
    </row>
    <row r="266" spans="1:6" x14ac:dyDescent="0.25">
      <c r="A266" s="8">
        <v>46507</v>
      </c>
      <c r="B266" s="22">
        <f>SUMIF('Sales Log'!$A:$A,A266,'Sales Log'!$F:$F)</f>
        <v>0</v>
      </c>
      <c r="C266" s="22">
        <f>SUMIF('Sales Log'!$A:$A,A266,'Sales Log'!$G:$G)</f>
        <v>0</v>
      </c>
      <c r="D266" s="22">
        <f>SUMIF('Sales Log'!$A:$A,A266,'Sales Log'!$C:$C)</f>
        <v>0</v>
      </c>
      <c r="E266" s="22">
        <f>COUNTIF('Sales Log'!$A:$A,A266)</f>
        <v>0</v>
      </c>
      <c r="F266" s="22">
        <f t="shared" si="4"/>
        <v>0</v>
      </c>
    </row>
    <row r="267" spans="1:6" x14ac:dyDescent="0.25">
      <c r="A267" s="8">
        <v>46508</v>
      </c>
      <c r="B267" s="22">
        <f>SUMIF('Sales Log'!$A:$A,A267,'Sales Log'!$F:$F)</f>
        <v>0</v>
      </c>
      <c r="C267" s="22">
        <f>SUMIF('Sales Log'!$A:$A,A267,'Sales Log'!$G:$G)</f>
        <v>0</v>
      </c>
      <c r="D267" s="22">
        <f>SUMIF('Sales Log'!$A:$A,A267,'Sales Log'!$C:$C)</f>
        <v>0</v>
      </c>
      <c r="E267" s="22">
        <f>COUNTIF('Sales Log'!$A:$A,A267)</f>
        <v>0</v>
      </c>
      <c r="F267" s="22">
        <f t="shared" si="4"/>
        <v>0</v>
      </c>
    </row>
    <row r="268" spans="1:6" x14ac:dyDescent="0.25">
      <c r="A268" s="8">
        <v>46509</v>
      </c>
      <c r="B268" s="22">
        <f>SUMIF('Sales Log'!$A:$A,A268,'Sales Log'!$F:$F)</f>
        <v>0</v>
      </c>
      <c r="C268" s="22">
        <f>SUMIF('Sales Log'!$A:$A,A268,'Sales Log'!$G:$G)</f>
        <v>0</v>
      </c>
      <c r="D268" s="22">
        <f>SUMIF('Sales Log'!$A:$A,A268,'Sales Log'!$C:$C)</f>
        <v>0</v>
      </c>
      <c r="E268" s="22">
        <f>COUNTIF('Sales Log'!$A:$A,A268)</f>
        <v>0</v>
      </c>
      <c r="F268" s="22">
        <f t="shared" si="4"/>
        <v>0</v>
      </c>
    </row>
    <row r="269" spans="1:6" x14ac:dyDescent="0.25">
      <c r="A269" s="8">
        <v>46510</v>
      </c>
      <c r="B269" s="22">
        <f>SUMIF('Sales Log'!$A:$A,A269,'Sales Log'!$F:$F)</f>
        <v>0</v>
      </c>
      <c r="C269" s="22">
        <f>SUMIF('Sales Log'!$A:$A,A269,'Sales Log'!$G:$G)</f>
        <v>0</v>
      </c>
      <c r="D269" s="22">
        <f>SUMIF('Sales Log'!$A:$A,A269,'Sales Log'!$C:$C)</f>
        <v>0</v>
      </c>
      <c r="E269" s="22">
        <f>COUNTIF('Sales Log'!$A:$A,A269)</f>
        <v>0</v>
      </c>
      <c r="F269" s="22">
        <f t="shared" si="4"/>
        <v>0</v>
      </c>
    </row>
    <row r="270" spans="1:6" x14ac:dyDescent="0.25">
      <c r="A270" s="8">
        <v>46511</v>
      </c>
      <c r="B270" s="22">
        <f>SUMIF('Sales Log'!$A:$A,A270,'Sales Log'!$F:$F)</f>
        <v>0</v>
      </c>
      <c r="C270" s="22">
        <f>SUMIF('Sales Log'!$A:$A,A270,'Sales Log'!$G:$G)</f>
        <v>0</v>
      </c>
      <c r="D270" s="22">
        <f>SUMIF('Sales Log'!$A:$A,A270,'Sales Log'!$C:$C)</f>
        <v>0</v>
      </c>
      <c r="E270" s="22">
        <f>COUNTIF('Sales Log'!$A:$A,A270)</f>
        <v>0</v>
      </c>
      <c r="F270" s="22">
        <f t="shared" si="4"/>
        <v>0</v>
      </c>
    </row>
    <row r="271" spans="1:6" x14ac:dyDescent="0.25">
      <c r="A271" s="8">
        <v>46512</v>
      </c>
      <c r="B271" s="22">
        <f>SUMIF('Sales Log'!$A:$A,A271,'Sales Log'!$F:$F)</f>
        <v>0</v>
      </c>
      <c r="C271" s="22">
        <f>SUMIF('Sales Log'!$A:$A,A271,'Sales Log'!$G:$G)</f>
        <v>0</v>
      </c>
      <c r="D271" s="22">
        <f>SUMIF('Sales Log'!$A:$A,A271,'Sales Log'!$C:$C)</f>
        <v>0</v>
      </c>
      <c r="E271" s="22">
        <f>COUNTIF('Sales Log'!$A:$A,A271)</f>
        <v>0</v>
      </c>
      <c r="F271" s="22">
        <f t="shared" si="4"/>
        <v>0</v>
      </c>
    </row>
    <row r="272" spans="1:6" x14ac:dyDescent="0.25">
      <c r="A272" s="8">
        <v>46513</v>
      </c>
      <c r="B272" s="22">
        <f>SUMIF('Sales Log'!$A:$A,A272,'Sales Log'!$F:$F)</f>
        <v>0</v>
      </c>
      <c r="C272" s="22">
        <f>SUMIF('Sales Log'!$A:$A,A272,'Sales Log'!$G:$G)</f>
        <v>0</v>
      </c>
      <c r="D272" s="22">
        <f>SUMIF('Sales Log'!$A:$A,A272,'Sales Log'!$C:$C)</f>
        <v>0</v>
      </c>
      <c r="E272" s="22">
        <f>COUNTIF('Sales Log'!$A:$A,A272)</f>
        <v>0</v>
      </c>
      <c r="F272" s="22">
        <f t="shared" si="4"/>
        <v>0</v>
      </c>
    </row>
    <row r="273" spans="1:6" x14ac:dyDescent="0.25">
      <c r="A273" s="8">
        <v>46514</v>
      </c>
      <c r="B273" s="22">
        <f>SUMIF('Sales Log'!$A:$A,A273,'Sales Log'!$F:$F)</f>
        <v>0</v>
      </c>
      <c r="C273" s="22">
        <f>SUMIF('Sales Log'!$A:$A,A273,'Sales Log'!$G:$G)</f>
        <v>0</v>
      </c>
      <c r="D273" s="22">
        <f>SUMIF('Sales Log'!$A:$A,A273,'Sales Log'!$C:$C)</f>
        <v>0</v>
      </c>
      <c r="E273" s="22">
        <f>COUNTIF('Sales Log'!$A:$A,A273)</f>
        <v>0</v>
      </c>
      <c r="F273" s="22">
        <f t="shared" si="4"/>
        <v>0</v>
      </c>
    </row>
    <row r="274" spans="1:6" x14ac:dyDescent="0.25">
      <c r="A274" s="8">
        <v>46515</v>
      </c>
      <c r="B274" s="22">
        <f>SUMIF('Sales Log'!$A:$A,A274,'Sales Log'!$F:$F)</f>
        <v>0</v>
      </c>
      <c r="C274" s="22">
        <f>SUMIF('Sales Log'!$A:$A,A274,'Sales Log'!$G:$G)</f>
        <v>0</v>
      </c>
      <c r="D274" s="22">
        <f>SUMIF('Sales Log'!$A:$A,A274,'Sales Log'!$C:$C)</f>
        <v>0</v>
      </c>
      <c r="E274" s="22">
        <f>COUNTIF('Sales Log'!$A:$A,A274)</f>
        <v>0</v>
      </c>
      <c r="F274" s="22">
        <f t="shared" si="4"/>
        <v>0</v>
      </c>
    </row>
    <row r="275" spans="1:6" x14ac:dyDescent="0.25">
      <c r="A275" s="8">
        <v>46516</v>
      </c>
      <c r="B275" s="22">
        <f>SUMIF('Sales Log'!$A:$A,A275,'Sales Log'!$F:$F)</f>
        <v>0</v>
      </c>
      <c r="C275" s="22">
        <f>SUMIF('Sales Log'!$A:$A,A275,'Sales Log'!$G:$G)</f>
        <v>0</v>
      </c>
      <c r="D275" s="22">
        <f>SUMIF('Sales Log'!$A:$A,A275,'Sales Log'!$C:$C)</f>
        <v>0</v>
      </c>
      <c r="E275" s="22">
        <f>COUNTIF('Sales Log'!$A:$A,A275)</f>
        <v>0</v>
      </c>
      <c r="F275" s="22">
        <f t="shared" si="4"/>
        <v>0</v>
      </c>
    </row>
    <row r="276" spans="1:6" x14ac:dyDescent="0.25">
      <c r="A276" s="8">
        <v>46517</v>
      </c>
      <c r="B276" s="22">
        <f>SUMIF('Sales Log'!$A:$A,A276,'Sales Log'!$F:$F)</f>
        <v>0</v>
      </c>
      <c r="C276" s="22">
        <f>SUMIF('Sales Log'!$A:$A,A276,'Sales Log'!$G:$G)</f>
        <v>0</v>
      </c>
      <c r="D276" s="22">
        <f>SUMIF('Sales Log'!$A:$A,A276,'Sales Log'!$C:$C)</f>
        <v>0</v>
      </c>
      <c r="E276" s="22">
        <f>COUNTIF('Sales Log'!$A:$A,A276)</f>
        <v>0</v>
      </c>
      <c r="F276" s="22">
        <f t="shared" si="4"/>
        <v>0</v>
      </c>
    </row>
    <row r="277" spans="1:6" x14ac:dyDescent="0.25">
      <c r="A277" s="8">
        <v>46518</v>
      </c>
      <c r="B277" s="22">
        <f>SUMIF('Sales Log'!$A:$A,A277,'Sales Log'!$F:$F)</f>
        <v>0</v>
      </c>
      <c r="C277" s="22">
        <f>SUMIF('Sales Log'!$A:$A,A277,'Sales Log'!$G:$G)</f>
        <v>0</v>
      </c>
      <c r="D277" s="22">
        <f>SUMIF('Sales Log'!$A:$A,A277,'Sales Log'!$C:$C)</f>
        <v>0</v>
      </c>
      <c r="E277" s="22">
        <f>COUNTIF('Sales Log'!$A:$A,A277)</f>
        <v>0</v>
      </c>
      <c r="F277" s="22">
        <f t="shared" si="4"/>
        <v>0</v>
      </c>
    </row>
    <row r="278" spans="1:6" x14ac:dyDescent="0.25">
      <c r="A278" s="8">
        <v>46519</v>
      </c>
      <c r="B278" s="22">
        <f>SUMIF('Sales Log'!$A:$A,A278,'Sales Log'!$F:$F)</f>
        <v>0</v>
      </c>
      <c r="C278" s="22">
        <f>SUMIF('Sales Log'!$A:$A,A278,'Sales Log'!$G:$G)</f>
        <v>0</v>
      </c>
      <c r="D278" s="22">
        <f>SUMIF('Sales Log'!$A:$A,A278,'Sales Log'!$C:$C)</f>
        <v>0</v>
      </c>
      <c r="E278" s="22">
        <f>COUNTIF('Sales Log'!$A:$A,A278)</f>
        <v>0</v>
      </c>
      <c r="F278" s="22">
        <f t="shared" si="4"/>
        <v>0</v>
      </c>
    </row>
    <row r="279" spans="1:6" x14ac:dyDescent="0.25">
      <c r="A279" s="8">
        <v>46520</v>
      </c>
      <c r="B279" s="22">
        <f>SUMIF('Sales Log'!$A:$A,A279,'Sales Log'!$F:$F)</f>
        <v>0</v>
      </c>
      <c r="C279" s="22">
        <f>SUMIF('Sales Log'!$A:$A,A279,'Sales Log'!$G:$G)</f>
        <v>0</v>
      </c>
      <c r="D279" s="22">
        <f>SUMIF('Sales Log'!$A:$A,A279,'Sales Log'!$C:$C)</f>
        <v>0</v>
      </c>
      <c r="E279" s="22">
        <f>COUNTIF('Sales Log'!$A:$A,A279)</f>
        <v>0</v>
      </c>
      <c r="F279" s="22">
        <f t="shared" si="4"/>
        <v>0</v>
      </c>
    </row>
    <row r="280" spans="1:6" x14ac:dyDescent="0.25">
      <c r="A280" s="8">
        <v>46521</v>
      </c>
      <c r="B280" s="22">
        <f>SUMIF('Sales Log'!$A:$A,A280,'Sales Log'!$F:$F)</f>
        <v>0</v>
      </c>
      <c r="C280" s="22">
        <f>SUMIF('Sales Log'!$A:$A,A280,'Sales Log'!$G:$G)</f>
        <v>0</v>
      </c>
      <c r="D280" s="22">
        <f>SUMIF('Sales Log'!$A:$A,A280,'Sales Log'!$C:$C)</f>
        <v>0</v>
      </c>
      <c r="E280" s="22">
        <f>COUNTIF('Sales Log'!$A:$A,A280)</f>
        <v>0</v>
      </c>
      <c r="F280" s="22">
        <f t="shared" si="4"/>
        <v>0</v>
      </c>
    </row>
    <row r="281" spans="1:6" x14ac:dyDescent="0.25">
      <c r="A281" s="8">
        <v>46522</v>
      </c>
      <c r="B281" s="22">
        <f>SUMIF('Sales Log'!$A:$A,A281,'Sales Log'!$F:$F)</f>
        <v>0</v>
      </c>
      <c r="C281" s="22">
        <f>SUMIF('Sales Log'!$A:$A,A281,'Sales Log'!$G:$G)</f>
        <v>0</v>
      </c>
      <c r="D281" s="22">
        <f>SUMIF('Sales Log'!$A:$A,A281,'Sales Log'!$C:$C)</f>
        <v>0</v>
      </c>
      <c r="E281" s="22">
        <f>COUNTIF('Sales Log'!$A:$A,A281)</f>
        <v>0</v>
      </c>
      <c r="F281" s="22">
        <f t="shared" si="4"/>
        <v>0</v>
      </c>
    </row>
    <row r="282" spans="1:6" x14ac:dyDescent="0.25">
      <c r="A282" s="8">
        <v>46523</v>
      </c>
      <c r="B282" s="22">
        <f>SUMIF('Sales Log'!$A:$A,A282,'Sales Log'!$F:$F)</f>
        <v>0</v>
      </c>
      <c r="C282" s="22">
        <f>SUMIF('Sales Log'!$A:$A,A282,'Sales Log'!$G:$G)</f>
        <v>0</v>
      </c>
      <c r="D282" s="22">
        <f>SUMIF('Sales Log'!$A:$A,A282,'Sales Log'!$C:$C)</f>
        <v>0</v>
      </c>
      <c r="E282" s="22">
        <f>COUNTIF('Sales Log'!$A:$A,A282)</f>
        <v>0</v>
      </c>
      <c r="F282" s="22">
        <f t="shared" si="4"/>
        <v>0</v>
      </c>
    </row>
    <row r="283" spans="1:6" x14ac:dyDescent="0.25">
      <c r="A283" s="8">
        <v>46524</v>
      </c>
      <c r="B283" s="22">
        <f>SUMIF('Sales Log'!$A:$A,A283,'Sales Log'!$F:$F)</f>
        <v>0</v>
      </c>
      <c r="C283" s="22">
        <f>SUMIF('Sales Log'!$A:$A,A283,'Sales Log'!$G:$G)</f>
        <v>0</v>
      </c>
      <c r="D283" s="22">
        <f>SUMIF('Sales Log'!$A:$A,A283,'Sales Log'!$C:$C)</f>
        <v>0</v>
      </c>
      <c r="E283" s="22">
        <f>COUNTIF('Sales Log'!$A:$A,A283)</f>
        <v>0</v>
      </c>
      <c r="F283" s="22">
        <f t="shared" si="4"/>
        <v>0</v>
      </c>
    </row>
    <row r="284" spans="1:6" x14ac:dyDescent="0.25">
      <c r="A284" s="8">
        <v>46525</v>
      </c>
      <c r="B284" s="22">
        <f>SUMIF('Sales Log'!$A:$A,A284,'Sales Log'!$F:$F)</f>
        <v>0</v>
      </c>
      <c r="C284" s="22">
        <f>SUMIF('Sales Log'!$A:$A,A284,'Sales Log'!$G:$G)</f>
        <v>0</v>
      </c>
      <c r="D284" s="22">
        <f>SUMIF('Sales Log'!$A:$A,A284,'Sales Log'!$C:$C)</f>
        <v>0</v>
      </c>
      <c r="E284" s="22">
        <f>COUNTIF('Sales Log'!$A:$A,A284)</f>
        <v>0</v>
      </c>
      <c r="F284" s="22">
        <f t="shared" si="4"/>
        <v>0</v>
      </c>
    </row>
    <row r="285" spans="1:6" x14ac:dyDescent="0.25">
      <c r="A285" s="8">
        <v>46526</v>
      </c>
      <c r="B285" s="22">
        <f>SUMIF('Sales Log'!$A:$A,A285,'Sales Log'!$F:$F)</f>
        <v>0</v>
      </c>
      <c r="C285" s="22">
        <f>SUMIF('Sales Log'!$A:$A,A285,'Sales Log'!$G:$G)</f>
        <v>0</v>
      </c>
      <c r="D285" s="22">
        <f>SUMIF('Sales Log'!$A:$A,A285,'Sales Log'!$C:$C)</f>
        <v>0</v>
      </c>
      <c r="E285" s="22">
        <f>COUNTIF('Sales Log'!$A:$A,A285)</f>
        <v>0</v>
      </c>
      <c r="F285" s="22">
        <f t="shared" si="4"/>
        <v>0</v>
      </c>
    </row>
    <row r="286" spans="1:6" x14ac:dyDescent="0.25">
      <c r="A286" s="8">
        <v>46527</v>
      </c>
      <c r="B286" s="22">
        <f>SUMIF('Sales Log'!$A:$A,A286,'Sales Log'!$F:$F)</f>
        <v>0</v>
      </c>
      <c r="C286" s="22">
        <f>SUMIF('Sales Log'!$A:$A,A286,'Sales Log'!$G:$G)</f>
        <v>0</v>
      </c>
      <c r="D286" s="22">
        <f>SUMIF('Sales Log'!$A:$A,A286,'Sales Log'!$C:$C)</f>
        <v>0</v>
      </c>
      <c r="E286" s="22">
        <f>COUNTIF('Sales Log'!$A:$A,A286)</f>
        <v>0</v>
      </c>
      <c r="F286" s="22">
        <f t="shared" si="4"/>
        <v>0</v>
      </c>
    </row>
    <row r="287" spans="1:6" x14ac:dyDescent="0.25">
      <c r="A287" s="8">
        <v>46528</v>
      </c>
      <c r="B287" s="22">
        <f>SUMIF('Sales Log'!$A:$A,A287,'Sales Log'!$F:$F)</f>
        <v>0</v>
      </c>
      <c r="C287" s="22">
        <f>SUMIF('Sales Log'!$A:$A,A287,'Sales Log'!$G:$G)</f>
        <v>0</v>
      </c>
      <c r="D287" s="22">
        <f>SUMIF('Sales Log'!$A:$A,A287,'Sales Log'!$C:$C)</f>
        <v>0</v>
      </c>
      <c r="E287" s="22">
        <f>COUNTIF('Sales Log'!$A:$A,A287)</f>
        <v>0</v>
      </c>
      <c r="F287" s="22">
        <f t="shared" si="4"/>
        <v>0</v>
      </c>
    </row>
    <row r="288" spans="1:6" x14ac:dyDescent="0.25">
      <c r="A288" s="8">
        <v>46529</v>
      </c>
      <c r="B288" s="22">
        <f>SUMIF('Sales Log'!$A:$A,A288,'Sales Log'!$F:$F)</f>
        <v>0</v>
      </c>
      <c r="C288" s="22">
        <f>SUMIF('Sales Log'!$A:$A,A288,'Sales Log'!$G:$G)</f>
        <v>0</v>
      </c>
      <c r="D288" s="22">
        <f>SUMIF('Sales Log'!$A:$A,A288,'Sales Log'!$C:$C)</f>
        <v>0</v>
      </c>
      <c r="E288" s="22">
        <f>COUNTIF('Sales Log'!$A:$A,A288)</f>
        <v>0</v>
      </c>
      <c r="F288" s="22">
        <f t="shared" si="4"/>
        <v>0</v>
      </c>
    </row>
    <row r="289" spans="1:6" x14ac:dyDescent="0.25">
      <c r="A289" s="8">
        <v>46530</v>
      </c>
      <c r="B289" s="22">
        <f>SUMIF('Sales Log'!$A:$A,A289,'Sales Log'!$F:$F)</f>
        <v>0</v>
      </c>
      <c r="C289" s="22">
        <f>SUMIF('Sales Log'!$A:$A,A289,'Sales Log'!$G:$G)</f>
        <v>0</v>
      </c>
      <c r="D289" s="22">
        <f>SUMIF('Sales Log'!$A:$A,A289,'Sales Log'!$C:$C)</f>
        <v>0</v>
      </c>
      <c r="E289" s="22">
        <f>COUNTIF('Sales Log'!$A:$A,A289)</f>
        <v>0</v>
      </c>
      <c r="F289" s="22">
        <f t="shared" si="4"/>
        <v>0</v>
      </c>
    </row>
    <row r="290" spans="1:6" x14ac:dyDescent="0.25">
      <c r="A290" s="8">
        <v>46531</v>
      </c>
      <c r="B290" s="22">
        <f>SUMIF('Sales Log'!$A:$A,A290,'Sales Log'!$F:$F)</f>
        <v>0</v>
      </c>
      <c r="C290" s="22">
        <f>SUMIF('Sales Log'!$A:$A,A290,'Sales Log'!$G:$G)</f>
        <v>0</v>
      </c>
      <c r="D290" s="22">
        <f>SUMIF('Sales Log'!$A:$A,A290,'Sales Log'!$C:$C)</f>
        <v>0</v>
      </c>
      <c r="E290" s="22">
        <f>COUNTIF('Sales Log'!$A:$A,A290)</f>
        <v>0</v>
      </c>
      <c r="F290" s="22">
        <f t="shared" si="4"/>
        <v>0</v>
      </c>
    </row>
    <row r="291" spans="1:6" x14ac:dyDescent="0.25">
      <c r="A291" s="8">
        <v>46532</v>
      </c>
      <c r="B291" s="22">
        <f>SUMIF('Sales Log'!$A:$A,A291,'Sales Log'!$F:$F)</f>
        <v>0</v>
      </c>
      <c r="C291" s="22">
        <f>SUMIF('Sales Log'!$A:$A,A291,'Sales Log'!$G:$G)</f>
        <v>0</v>
      </c>
      <c r="D291" s="22">
        <f>SUMIF('Sales Log'!$A:$A,A291,'Sales Log'!$C:$C)</f>
        <v>0</v>
      </c>
      <c r="E291" s="22">
        <f>COUNTIF('Sales Log'!$A:$A,A291)</f>
        <v>0</v>
      </c>
      <c r="F291" s="22">
        <f t="shared" si="4"/>
        <v>0</v>
      </c>
    </row>
    <row r="292" spans="1:6" x14ac:dyDescent="0.25">
      <c r="A292" s="8">
        <v>46533</v>
      </c>
      <c r="B292" s="22">
        <f>SUMIF('Sales Log'!$A:$A,A292,'Sales Log'!$F:$F)</f>
        <v>0</v>
      </c>
      <c r="C292" s="22">
        <f>SUMIF('Sales Log'!$A:$A,A292,'Sales Log'!$G:$G)</f>
        <v>0</v>
      </c>
      <c r="D292" s="22">
        <f>SUMIF('Sales Log'!$A:$A,A292,'Sales Log'!$C:$C)</f>
        <v>0</v>
      </c>
      <c r="E292" s="22">
        <f>COUNTIF('Sales Log'!$A:$A,A292)</f>
        <v>0</v>
      </c>
      <c r="F292" s="22">
        <f t="shared" si="4"/>
        <v>0</v>
      </c>
    </row>
    <row r="293" spans="1:6" x14ac:dyDescent="0.25">
      <c r="A293" s="8">
        <v>46534</v>
      </c>
      <c r="B293" s="22">
        <f>SUMIF('Sales Log'!$A:$A,A293,'Sales Log'!$F:$F)</f>
        <v>0</v>
      </c>
      <c r="C293" s="22">
        <f>SUMIF('Sales Log'!$A:$A,A293,'Sales Log'!$G:$G)</f>
        <v>0</v>
      </c>
      <c r="D293" s="22">
        <f>SUMIF('Sales Log'!$A:$A,A293,'Sales Log'!$C:$C)</f>
        <v>0</v>
      </c>
      <c r="E293" s="22">
        <f>COUNTIF('Sales Log'!$A:$A,A293)</f>
        <v>0</v>
      </c>
      <c r="F293" s="22">
        <f t="shared" si="4"/>
        <v>0</v>
      </c>
    </row>
    <row r="294" spans="1:6" x14ac:dyDescent="0.25">
      <c r="A294" s="8">
        <v>46535</v>
      </c>
      <c r="B294" s="22">
        <f>SUMIF('Sales Log'!$A:$A,A294,'Sales Log'!$F:$F)</f>
        <v>0</v>
      </c>
      <c r="C294" s="22">
        <f>SUMIF('Sales Log'!$A:$A,A294,'Sales Log'!$G:$G)</f>
        <v>0</v>
      </c>
      <c r="D294" s="22">
        <f>SUMIF('Sales Log'!$A:$A,A294,'Sales Log'!$C:$C)</f>
        <v>0</v>
      </c>
      <c r="E294" s="22">
        <f>COUNTIF('Sales Log'!$A:$A,A294)</f>
        <v>0</v>
      </c>
      <c r="F294" s="22">
        <f t="shared" si="4"/>
        <v>0</v>
      </c>
    </row>
    <row r="295" spans="1:6" x14ac:dyDescent="0.25">
      <c r="A295" s="8">
        <v>46536</v>
      </c>
      <c r="B295" s="22">
        <f>SUMIF('Sales Log'!$A:$A,A295,'Sales Log'!$F:$F)</f>
        <v>0</v>
      </c>
      <c r="C295" s="22">
        <f>SUMIF('Sales Log'!$A:$A,A295,'Sales Log'!$G:$G)</f>
        <v>0</v>
      </c>
      <c r="D295" s="22">
        <f>SUMIF('Sales Log'!$A:$A,A295,'Sales Log'!$C:$C)</f>
        <v>0</v>
      </c>
      <c r="E295" s="22">
        <f>COUNTIF('Sales Log'!$A:$A,A295)</f>
        <v>0</v>
      </c>
      <c r="F295" s="22">
        <f t="shared" si="4"/>
        <v>0</v>
      </c>
    </row>
    <row r="296" spans="1:6" x14ac:dyDescent="0.25">
      <c r="A296" s="8">
        <v>46537</v>
      </c>
      <c r="B296" s="22">
        <f>SUMIF('Sales Log'!$A:$A,A296,'Sales Log'!$F:$F)</f>
        <v>0</v>
      </c>
      <c r="C296" s="22">
        <f>SUMIF('Sales Log'!$A:$A,A296,'Sales Log'!$G:$G)</f>
        <v>0</v>
      </c>
      <c r="D296" s="22">
        <f>SUMIF('Sales Log'!$A:$A,A296,'Sales Log'!$C:$C)</f>
        <v>0</v>
      </c>
      <c r="E296" s="22">
        <f>COUNTIF('Sales Log'!$A:$A,A296)</f>
        <v>0</v>
      </c>
      <c r="F296" s="22">
        <f t="shared" si="4"/>
        <v>0</v>
      </c>
    </row>
    <row r="297" spans="1:6" x14ac:dyDescent="0.25">
      <c r="A297" s="8">
        <v>46538</v>
      </c>
      <c r="B297" s="22">
        <f>SUMIF('Sales Log'!$A:$A,A297,'Sales Log'!$F:$F)</f>
        <v>0</v>
      </c>
      <c r="C297" s="22">
        <f>SUMIF('Sales Log'!$A:$A,A297,'Sales Log'!$G:$G)</f>
        <v>0</v>
      </c>
      <c r="D297" s="22">
        <f>SUMIF('Sales Log'!$A:$A,A297,'Sales Log'!$C:$C)</f>
        <v>0</v>
      </c>
      <c r="E297" s="22">
        <f>COUNTIF('Sales Log'!$A:$A,A297)</f>
        <v>0</v>
      </c>
      <c r="F297" s="22">
        <f t="shared" si="4"/>
        <v>0</v>
      </c>
    </row>
    <row r="298" spans="1:6" x14ac:dyDescent="0.25">
      <c r="A298" s="8">
        <v>46539</v>
      </c>
      <c r="B298" s="22">
        <f>SUMIF('Sales Log'!$A:$A,A298,'Sales Log'!$F:$F)</f>
        <v>0</v>
      </c>
      <c r="C298" s="22">
        <f>SUMIF('Sales Log'!$A:$A,A298,'Sales Log'!$G:$G)</f>
        <v>0</v>
      </c>
      <c r="D298" s="22">
        <f>SUMIF('Sales Log'!$A:$A,A298,'Sales Log'!$C:$C)</f>
        <v>0</v>
      </c>
      <c r="E298" s="22">
        <f>COUNTIF('Sales Log'!$A:$A,A298)</f>
        <v>0</v>
      </c>
      <c r="F298" s="22">
        <f t="shared" si="4"/>
        <v>0</v>
      </c>
    </row>
    <row r="299" spans="1:6" x14ac:dyDescent="0.25">
      <c r="A299" s="8">
        <v>46540</v>
      </c>
      <c r="B299" s="22">
        <f>SUMIF('Sales Log'!$A:$A,A299,'Sales Log'!$F:$F)</f>
        <v>0</v>
      </c>
      <c r="C299" s="22">
        <f>SUMIF('Sales Log'!$A:$A,A299,'Sales Log'!$G:$G)</f>
        <v>0</v>
      </c>
      <c r="D299" s="22">
        <f>SUMIF('Sales Log'!$A:$A,A299,'Sales Log'!$C:$C)</f>
        <v>0</v>
      </c>
      <c r="E299" s="22">
        <f>COUNTIF('Sales Log'!$A:$A,A299)</f>
        <v>0</v>
      </c>
      <c r="F299" s="22">
        <f t="shared" si="4"/>
        <v>0</v>
      </c>
    </row>
    <row r="300" spans="1:6" x14ac:dyDescent="0.25">
      <c r="A300" s="8">
        <v>46541</v>
      </c>
      <c r="B300" s="22">
        <f>SUMIF('Sales Log'!$A:$A,A300,'Sales Log'!$F:$F)</f>
        <v>0</v>
      </c>
      <c r="C300" s="22">
        <f>SUMIF('Sales Log'!$A:$A,A300,'Sales Log'!$G:$G)</f>
        <v>0</v>
      </c>
      <c r="D300" s="22">
        <f>SUMIF('Sales Log'!$A:$A,A300,'Sales Log'!$C:$C)</f>
        <v>0</v>
      </c>
      <c r="E300" s="22">
        <f>COUNTIF('Sales Log'!$A:$A,A300)</f>
        <v>0</v>
      </c>
      <c r="F300" s="22">
        <f t="shared" si="4"/>
        <v>0</v>
      </c>
    </row>
    <row r="301" spans="1:6" x14ac:dyDescent="0.25">
      <c r="A301" s="8">
        <v>46542</v>
      </c>
      <c r="B301" s="22">
        <f>SUMIF('Sales Log'!$A:$A,A301,'Sales Log'!$F:$F)</f>
        <v>0</v>
      </c>
      <c r="C301" s="22">
        <f>SUMIF('Sales Log'!$A:$A,A301,'Sales Log'!$G:$G)</f>
        <v>0</v>
      </c>
      <c r="D301" s="22">
        <f>SUMIF('Sales Log'!$A:$A,A301,'Sales Log'!$C:$C)</f>
        <v>0</v>
      </c>
      <c r="E301" s="22">
        <f>COUNTIF('Sales Log'!$A:$A,A301)</f>
        <v>0</v>
      </c>
      <c r="F301" s="22">
        <f t="shared" si="4"/>
        <v>0</v>
      </c>
    </row>
    <row r="302" spans="1:6" x14ac:dyDescent="0.25">
      <c r="A302" s="8">
        <v>46543</v>
      </c>
      <c r="B302" s="22">
        <f>SUMIF('Sales Log'!$A:$A,A302,'Sales Log'!$F:$F)</f>
        <v>0</v>
      </c>
      <c r="C302" s="22">
        <f>SUMIF('Sales Log'!$A:$A,A302,'Sales Log'!$G:$G)</f>
        <v>0</v>
      </c>
      <c r="D302" s="22">
        <f>SUMIF('Sales Log'!$A:$A,A302,'Sales Log'!$C:$C)</f>
        <v>0</v>
      </c>
      <c r="E302" s="22">
        <f>COUNTIF('Sales Log'!$A:$A,A302)</f>
        <v>0</v>
      </c>
      <c r="F302" s="22">
        <f t="shared" si="4"/>
        <v>0</v>
      </c>
    </row>
    <row r="303" spans="1:6" x14ac:dyDescent="0.25">
      <c r="A303" s="8">
        <v>46544</v>
      </c>
      <c r="B303" s="22">
        <f>SUMIF('Sales Log'!$A:$A,A303,'Sales Log'!$F:$F)</f>
        <v>0</v>
      </c>
      <c r="C303" s="22">
        <f>SUMIF('Sales Log'!$A:$A,A303,'Sales Log'!$G:$G)</f>
        <v>0</v>
      </c>
      <c r="D303" s="22">
        <f>SUMIF('Sales Log'!$A:$A,A303,'Sales Log'!$C:$C)</f>
        <v>0</v>
      </c>
      <c r="E303" s="22">
        <f>COUNTIF('Sales Log'!$A:$A,A303)</f>
        <v>0</v>
      </c>
      <c r="F303" s="22">
        <f t="shared" si="4"/>
        <v>0</v>
      </c>
    </row>
    <row r="304" spans="1:6" x14ac:dyDescent="0.25">
      <c r="A304" s="8">
        <v>46545</v>
      </c>
      <c r="B304" s="22">
        <f>SUMIF('Sales Log'!$A:$A,A304,'Sales Log'!$F:$F)</f>
        <v>0</v>
      </c>
      <c r="C304" s="22">
        <f>SUMIF('Sales Log'!$A:$A,A304,'Sales Log'!$G:$G)</f>
        <v>0</v>
      </c>
      <c r="D304" s="22">
        <f>SUMIF('Sales Log'!$A:$A,A304,'Sales Log'!$C:$C)</f>
        <v>0</v>
      </c>
      <c r="E304" s="22">
        <f>COUNTIF('Sales Log'!$A:$A,A304)</f>
        <v>0</v>
      </c>
      <c r="F304" s="22">
        <f t="shared" si="4"/>
        <v>0</v>
      </c>
    </row>
    <row r="305" spans="1:6" x14ac:dyDescent="0.25">
      <c r="A305" s="8">
        <v>46546</v>
      </c>
      <c r="B305" s="22">
        <f>SUMIF('Sales Log'!$A:$A,A305,'Sales Log'!$F:$F)</f>
        <v>0</v>
      </c>
      <c r="C305" s="22">
        <f>SUMIF('Sales Log'!$A:$A,A305,'Sales Log'!$G:$G)</f>
        <v>0</v>
      </c>
      <c r="D305" s="22">
        <f>SUMIF('Sales Log'!$A:$A,A305,'Sales Log'!$C:$C)</f>
        <v>0</v>
      </c>
      <c r="E305" s="22">
        <f>COUNTIF('Sales Log'!$A:$A,A305)</f>
        <v>0</v>
      </c>
      <c r="F305" s="22">
        <f t="shared" si="4"/>
        <v>0</v>
      </c>
    </row>
    <row r="306" spans="1:6" x14ac:dyDescent="0.25">
      <c r="A306" s="8">
        <v>46547</v>
      </c>
      <c r="B306" s="22">
        <f>SUMIF('Sales Log'!$A:$A,A306,'Sales Log'!$F:$F)</f>
        <v>0</v>
      </c>
      <c r="C306" s="22">
        <f>SUMIF('Sales Log'!$A:$A,A306,'Sales Log'!$G:$G)</f>
        <v>0</v>
      </c>
      <c r="D306" s="22">
        <f>SUMIF('Sales Log'!$A:$A,A306,'Sales Log'!$C:$C)</f>
        <v>0</v>
      </c>
      <c r="E306" s="22">
        <f>COUNTIF('Sales Log'!$A:$A,A306)</f>
        <v>0</v>
      </c>
      <c r="F306" s="22">
        <f t="shared" si="4"/>
        <v>0</v>
      </c>
    </row>
    <row r="307" spans="1:6" x14ac:dyDescent="0.25">
      <c r="A307" s="8">
        <v>46548</v>
      </c>
      <c r="B307" s="22">
        <f>SUMIF('Sales Log'!$A:$A,A307,'Sales Log'!$F:$F)</f>
        <v>0</v>
      </c>
      <c r="C307" s="22">
        <f>SUMIF('Sales Log'!$A:$A,A307,'Sales Log'!$G:$G)</f>
        <v>0</v>
      </c>
      <c r="D307" s="22">
        <f>SUMIF('Sales Log'!$A:$A,A307,'Sales Log'!$C:$C)</f>
        <v>0</v>
      </c>
      <c r="E307" s="22">
        <f>COUNTIF('Sales Log'!$A:$A,A307)</f>
        <v>0</v>
      </c>
      <c r="F307" s="22">
        <f t="shared" si="4"/>
        <v>0</v>
      </c>
    </row>
    <row r="308" spans="1:6" x14ac:dyDescent="0.25">
      <c r="A308" s="8">
        <v>46549</v>
      </c>
      <c r="B308" s="22">
        <f>SUMIF('Sales Log'!$A:$A,A308,'Sales Log'!$F:$F)</f>
        <v>0</v>
      </c>
      <c r="C308" s="22">
        <f>SUMIF('Sales Log'!$A:$A,A308,'Sales Log'!$G:$G)</f>
        <v>0</v>
      </c>
      <c r="D308" s="22">
        <f>SUMIF('Sales Log'!$A:$A,A308,'Sales Log'!$C:$C)</f>
        <v>0</v>
      </c>
      <c r="E308" s="22">
        <f>COUNTIF('Sales Log'!$A:$A,A308)</f>
        <v>0</v>
      </c>
      <c r="F308" s="22">
        <f t="shared" si="4"/>
        <v>0</v>
      </c>
    </row>
    <row r="309" spans="1:6" x14ac:dyDescent="0.25">
      <c r="A309" s="8">
        <v>46550</v>
      </c>
      <c r="B309" s="22">
        <f>SUMIF('Sales Log'!$A:$A,A309,'Sales Log'!$F:$F)</f>
        <v>0</v>
      </c>
      <c r="C309" s="22">
        <f>SUMIF('Sales Log'!$A:$A,A309,'Sales Log'!$G:$G)</f>
        <v>0</v>
      </c>
      <c r="D309" s="22">
        <f>SUMIF('Sales Log'!$A:$A,A309,'Sales Log'!$C:$C)</f>
        <v>0</v>
      </c>
      <c r="E309" s="22">
        <f>COUNTIF('Sales Log'!$A:$A,A309)</f>
        <v>0</v>
      </c>
      <c r="F309" s="22">
        <f t="shared" si="4"/>
        <v>0</v>
      </c>
    </row>
    <row r="310" spans="1:6" x14ac:dyDescent="0.25">
      <c r="A310" s="8">
        <v>46551</v>
      </c>
      <c r="B310" s="22">
        <f>SUMIF('Sales Log'!$A:$A,A310,'Sales Log'!$F:$F)</f>
        <v>0</v>
      </c>
      <c r="C310" s="22">
        <f>SUMIF('Sales Log'!$A:$A,A310,'Sales Log'!$G:$G)</f>
        <v>0</v>
      </c>
      <c r="D310" s="22">
        <f>SUMIF('Sales Log'!$A:$A,A310,'Sales Log'!$C:$C)</f>
        <v>0</v>
      </c>
      <c r="E310" s="22">
        <f>COUNTIF('Sales Log'!$A:$A,A310)</f>
        <v>0</v>
      </c>
      <c r="F310" s="22">
        <f t="shared" si="4"/>
        <v>0</v>
      </c>
    </row>
    <row r="311" spans="1:6" x14ac:dyDescent="0.25">
      <c r="A311" s="8">
        <v>46552</v>
      </c>
      <c r="B311" s="22">
        <f>SUMIF('Sales Log'!$A:$A,A311,'Sales Log'!$F:$F)</f>
        <v>0</v>
      </c>
      <c r="C311" s="22">
        <f>SUMIF('Sales Log'!$A:$A,A311,'Sales Log'!$G:$G)</f>
        <v>0</v>
      </c>
      <c r="D311" s="22">
        <f>SUMIF('Sales Log'!$A:$A,A311,'Sales Log'!$C:$C)</f>
        <v>0</v>
      </c>
      <c r="E311" s="22">
        <f>COUNTIF('Sales Log'!$A:$A,A311)</f>
        <v>0</v>
      </c>
      <c r="F311" s="22">
        <f t="shared" si="4"/>
        <v>0</v>
      </c>
    </row>
    <row r="312" spans="1:6" x14ac:dyDescent="0.25">
      <c r="A312" s="8">
        <v>46553</v>
      </c>
      <c r="B312" s="22">
        <f>SUMIF('Sales Log'!$A:$A,A312,'Sales Log'!$F:$F)</f>
        <v>0</v>
      </c>
      <c r="C312" s="22">
        <f>SUMIF('Sales Log'!$A:$A,A312,'Sales Log'!$G:$G)</f>
        <v>0</v>
      </c>
      <c r="D312" s="22">
        <f>SUMIF('Sales Log'!$A:$A,A312,'Sales Log'!$C:$C)</f>
        <v>0</v>
      </c>
      <c r="E312" s="22">
        <f>COUNTIF('Sales Log'!$A:$A,A312)</f>
        <v>0</v>
      </c>
      <c r="F312" s="22">
        <f t="shared" si="4"/>
        <v>0</v>
      </c>
    </row>
    <row r="313" spans="1:6" x14ac:dyDescent="0.25">
      <c r="A313" s="8">
        <v>46554</v>
      </c>
      <c r="B313" s="22">
        <f>SUMIF('Sales Log'!$A:$A,A313,'Sales Log'!$F:$F)</f>
        <v>0</v>
      </c>
      <c r="C313" s="22">
        <f>SUMIF('Sales Log'!$A:$A,A313,'Sales Log'!$G:$G)</f>
        <v>0</v>
      </c>
      <c r="D313" s="22">
        <f>SUMIF('Sales Log'!$A:$A,A313,'Sales Log'!$C:$C)</f>
        <v>0</v>
      </c>
      <c r="E313" s="22">
        <f>COUNTIF('Sales Log'!$A:$A,A313)</f>
        <v>0</v>
      </c>
      <c r="F313" s="22">
        <f t="shared" si="4"/>
        <v>0</v>
      </c>
    </row>
    <row r="314" spans="1:6" x14ac:dyDescent="0.25">
      <c r="A314" s="8">
        <v>46555</v>
      </c>
      <c r="B314" s="22">
        <f>SUMIF('Sales Log'!$A:$A,A314,'Sales Log'!$F:$F)</f>
        <v>0</v>
      </c>
      <c r="C314" s="22">
        <f>SUMIF('Sales Log'!$A:$A,A314,'Sales Log'!$G:$G)</f>
        <v>0</v>
      </c>
      <c r="D314" s="22">
        <f>SUMIF('Sales Log'!$A:$A,A314,'Sales Log'!$C:$C)</f>
        <v>0</v>
      </c>
      <c r="E314" s="22">
        <f>COUNTIF('Sales Log'!$A:$A,A314)</f>
        <v>0</v>
      </c>
      <c r="F314" s="22">
        <f t="shared" si="4"/>
        <v>0</v>
      </c>
    </row>
    <row r="315" spans="1:6" x14ac:dyDescent="0.25">
      <c r="A315" s="8">
        <v>46556</v>
      </c>
      <c r="B315" s="22">
        <f>SUMIF('Sales Log'!$A:$A,A315,'Sales Log'!$F:$F)</f>
        <v>0</v>
      </c>
      <c r="C315" s="22">
        <f>SUMIF('Sales Log'!$A:$A,A315,'Sales Log'!$G:$G)</f>
        <v>0</v>
      </c>
      <c r="D315" s="22">
        <f>SUMIF('Sales Log'!$A:$A,A315,'Sales Log'!$C:$C)</f>
        <v>0</v>
      </c>
      <c r="E315" s="22">
        <f>COUNTIF('Sales Log'!$A:$A,A315)</f>
        <v>0</v>
      </c>
      <c r="F315" s="22">
        <f t="shared" si="4"/>
        <v>0</v>
      </c>
    </row>
    <row r="316" spans="1:6" x14ac:dyDescent="0.25">
      <c r="A316" s="8">
        <v>46557</v>
      </c>
      <c r="B316" s="22">
        <f>SUMIF('Sales Log'!$A:$A,A316,'Sales Log'!$F:$F)</f>
        <v>0</v>
      </c>
      <c r="C316" s="22">
        <f>SUMIF('Sales Log'!$A:$A,A316,'Sales Log'!$G:$G)</f>
        <v>0</v>
      </c>
      <c r="D316" s="22">
        <f>SUMIF('Sales Log'!$A:$A,A316,'Sales Log'!$C:$C)</f>
        <v>0</v>
      </c>
      <c r="E316" s="22">
        <f>COUNTIF('Sales Log'!$A:$A,A316)</f>
        <v>0</v>
      </c>
      <c r="F316" s="22">
        <f t="shared" si="4"/>
        <v>0</v>
      </c>
    </row>
    <row r="317" spans="1:6" x14ac:dyDescent="0.25">
      <c r="A317" s="8">
        <v>46558</v>
      </c>
      <c r="B317" s="22">
        <f>SUMIF('Sales Log'!$A:$A,A317,'Sales Log'!$F:$F)</f>
        <v>0</v>
      </c>
      <c r="C317" s="22">
        <f>SUMIF('Sales Log'!$A:$A,A317,'Sales Log'!$G:$G)</f>
        <v>0</v>
      </c>
      <c r="D317" s="22">
        <f>SUMIF('Sales Log'!$A:$A,A317,'Sales Log'!$C:$C)</f>
        <v>0</v>
      </c>
      <c r="E317" s="22">
        <f>COUNTIF('Sales Log'!$A:$A,A317)</f>
        <v>0</v>
      </c>
      <c r="F317" s="22">
        <f t="shared" si="4"/>
        <v>0</v>
      </c>
    </row>
    <row r="318" spans="1:6" x14ac:dyDescent="0.25">
      <c r="A318" s="8">
        <v>46559</v>
      </c>
      <c r="B318" s="22">
        <f>SUMIF('Sales Log'!$A:$A,A318,'Sales Log'!$F:$F)</f>
        <v>0</v>
      </c>
      <c r="C318" s="22">
        <f>SUMIF('Sales Log'!$A:$A,A318,'Sales Log'!$G:$G)</f>
        <v>0</v>
      </c>
      <c r="D318" s="22">
        <f>SUMIF('Sales Log'!$A:$A,A318,'Sales Log'!$C:$C)</f>
        <v>0</v>
      </c>
      <c r="E318" s="22">
        <f>COUNTIF('Sales Log'!$A:$A,A318)</f>
        <v>0</v>
      </c>
      <c r="F318" s="22">
        <f t="shared" si="4"/>
        <v>0</v>
      </c>
    </row>
    <row r="319" spans="1:6" x14ac:dyDescent="0.25">
      <c r="A319" s="8">
        <v>46560</v>
      </c>
      <c r="B319" s="22">
        <f>SUMIF('Sales Log'!$A:$A,A319,'Sales Log'!$F:$F)</f>
        <v>0</v>
      </c>
      <c r="C319" s="22">
        <f>SUMIF('Sales Log'!$A:$A,A319,'Sales Log'!$G:$G)</f>
        <v>0</v>
      </c>
      <c r="D319" s="22">
        <f>SUMIF('Sales Log'!$A:$A,A319,'Sales Log'!$C:$C)</f>
        <v>0</v>
      </c>
      <c r="E319" s="22">
        <f>COUNTIF('Sales Log'!$A:$A,A319)</f>
        <v>0</v>
      </c>
      <c r="F319" s="22">
        <f t="shared" si="4"/>
        <v>0</v>
      </c>
    </row>
    <row r="320" spans="1:6" x14ac:dyDescent="0.25">
      <c r="A320" s="8">
        <v>46561</v>
      </c>
      <c r="B320" s="22">
        <f>SUMIF('Sales Log'!$A:$A,A320,'Sales Log'!$F:$F)</f>
        <v>0</v>
      </c>
      <c r="C320" s="22">
        <f>SUMIF('Sales Log'!$A:$A,A320,'Sales Log'!$G:$G)</f>
        <v>0</v>
      </c>
      <c r="D320" s="22">
        <f>SUMIF('Sales Log'!$A:$A,A320,'Sales Log'!$C:$C)</f>
        <v>0</v>
      </c>
      <c r="E320" s="22">
        <f>COUNTIF('Sales Log'!$A:$A,A320)</f>
        <v>0</v>
      </c>
      <c r="F320" s="22">
        <f t="shared" si="4"/>
        <v>0</v>
      </c>
    </row>
    <row r="321" spans="1:6" x14ac:dyDescent="0.25">
      <c r="A321" s="8">
        <v>46562</v>
      </c>
      <c r="B321" s="22">
        <f>SUMIF('Sales Log'!$A:$A,A321,'Sales Log'!$F:$F)</f>
        <v>0</v>
      </c>
      <c r="C321" s="22">
        <f>SUMIF('Sales Log'!$A:$A,A321,'Sales Log'!$G:$G)</f>
        <v>0</v>
      </c>
      <c r="D321" s="22">
        <f>SUMIF('Sales Log'!$A:$A,A321,'Sales Log'!$C:$C)</f>
        <v>0</v>
      </c>
      <c r="E321" s="22">
        <f>COUNTIF('Sales Log'!$A:$A,A321)</f>
        <v>0</v>
      </c>
      <c r="F321" s="22">
        <f t="shared" si="4"/>
        <v>0</v>
      </c>
    </row>
    <row r="322" spans="1:6" x14ac:dyDescent="0.25">
      <c r="A322" s="8">
        <v>46563</v>
      </c>
      <c r="B322" s="22">
        <f>SUMIF('Sales Log'!$A:$A,A322,'Sales Log'!$F:$F)</f>
        <v>0</v>
      </c>
      <c r="C322" s="22">
        <f>SUMIF('Sales Log'!$A:$A,A322,'Sales Log'!$G:$G)</f>
        <v>0</v>
      </c>
      <c r="D322" s="22">
        <f>SUMIF('Sales Log'!$A:$A,A322,'Sales Log'!$C:$C)</f>
        <v>0</v>
      </c>
      <c r="E322" s="22">
        <f>COUNTIF('Sales Log'!$A:$A,A322)</f>
        <v>0</v>
      </c>
      <c r="F322" s="22">
        <f t="shared" si="4"/>
        <v>0</v>
      </c>
    </row>
    <row r="323" spans="1:6" x14ac:dyDescent="0.25">
      <c r="A323" s="8">
        <v>46564</v>
      </c>
      <c r="B323" s="22">
        <f>SUMIF('Sales Log'!$A:$A,A323,'Sales Log'!$F:$F)</f>
        <v>0</v>
      </c>
      <c r="C323" s="22">
        <f>SUMIF('Sales Log'!$A:$A,A323,'Sales Log'!$G:$G)</f>
        <v>0</v>
      </c>
      <c r="D323" s="22">
        <f>SUMIF('Sales Log'!$A:$A,A323,'Sales Log'!$C:$C)</f>
        <v>0</v>
      </c>
      <c r="E323" s="22">
        <f>COUNTIF('Sales Log'!$A:$A,A323)</f>
        <v>0</v>
      </c>
      <c r="F323" s="22">
        <f t="shared" si="4"/>
        <v>0</v>
      </c>
    </row>
    <row r="324" spans="1:6" x14ac:dyDescent="0.25">
      <c r="A324" s="8">
        <v>46565</v>
      </c>
      <c r="B324" s="22">
        <f>SUMIF('Sales Log'!$A:$A,A324,'Sales Log'!$F:$F)</f>
        <v>0</v>
      </c>
      <c r="C324" s="22">
        <f>SUMIF('Sales Log'!$A:$A,A324,'Sales Log'!$G:$G)</f>
        <v>0</v>
      </c>
      <c r="D324" s="22">
        <f>SUMIF('Sales Log'!$A:$A,A324,'Sales Log'!$C:$C)</f>
        <v>0</v>
      </c>
      <c r="E324" s="22">
        <f>COUNTIF('Sales Log'!$A:$A,A324)</f>
        <v>0</v>
      </c>
      <c r="F324" s="22">
        <f t="shared" si="4"/>
        <v>0</v>
      </c>
    </row>
    <row r="325" spans="1:6" x14ac:dyDescent="0.25">
      <c r="A325" s="8">
        <v>46566</v>
      </c>
      <c r="B325" s="22">
        <f>SUMIF('Sales Log'!$A:$A,A325,'Sales Log'!$F:$F)</f>
        <v>0</v>
      </c>
      <c r="C325" s="22">
        <f>SUMIF('Sales Log'!$A:$A,A325,'Sales Log'!$G:$G)</f>
        <v>0</v>
      </c>
      <c r="D325" s="22">
        <f>SUMIF('Sales Log'!$A:$A,A325,'Sales Log'!$C:$C)</f>
        <v>0</v>
      </c>
      <c r="E325" s="22">
        <f>COUNTIF('Sales Log'!$A:$A,A325)</f>
        <v>0</v>
      </c>
      <c r="F325" s="22">
        <f t="shared" ref="F325:F388" si="5">IF(B325=0,0,C325/B325)</f>
        <v>0</v>
      </c>
    </row>
    <row r="326" spans="1:6" x14ac:dyDescent="0.25">
      <c r="A326" s="8">
        <v>46567</v>
      </c>
      <c r="B326" s="22">
        <f>SUMIF('Sales Log'!$A:$A,A326,'Sales Log'!$F:$F)</f>
        <v>0</v>
      </c>
      <c r="C326" s="22">
        <f>SUMIF('Sales Log'!$A:$A,A326,'Sales Log'!$G:$G)</f>
        <v>0</v>
      </c>
      <c r="D326" s="22">
        <f>SUMIF('Sales Log'!$A:$A,A326,'Sales Log'!$C:$C)</f>
        <v>0</v>
      </c>
      <c r="E326" s="22">
        <f>COUNTIF('Sales Log'!$A:$A,A326)</f>
        <v>0</v>
      </c>
      <c r="F326" s="22">
        <f t="shared" si="5"/>
        <v>0</v>
      </c>
    </row>
    <row r="327" spans="1:6" x14ac:dyDescent="0.25">
      <c r="A327" s="8">
        <v>46568</v>
      </c>
      <c r="B327" s="22">
        <f>SUMIF('Sales Log'!$A:$A,A327,'Sales Log'!$F:$F)</f>
        <v>0</v>
      </c>
      <c r="C327" s="22">
        <f>SUMIF('Sales Log'!$A:$A,A327,'Sales Log'!$G:$G)</f>
        <v>0</v>
      </c>
      <c r="D327" s="22">
        <f>SUMIF('Sales Log'!$A:$A,A327,'Sales Log'!$C:$C)</f>
        <v>0</v>
      </c>
      <c r="E327" s="22">
        <f>COUNTIF('Sales Log'!$A:$A,A327)</f>
        <v>0</v>
      </c>
      <c r="F327" s="22">
        <f t="shared" si="5"/>
        <v>0</v>
      </c>
    </row>
    <row r="328" spans="1:6" x14ac:dyDescent="0.25">
      <c r="A328" s="8">
        <v>46569</v>
      </c>
      <c r="B328" s="22">
        <f>SUMIF('Sales Log'!$A:$A,A328,'Sales Log'!$F:$F)</f>
        <v>0</v>
      </c>
      <c r="C328" s="22">
        <f>SUMIF('Sales Log'!$A:$A,A328,'Sales Log'!$G:$G)</f>
        <v>0</v>
      </c>
      <c r="D328" s="22">
        <f>SUMIF('Sales Log'!$A:$A,A328,'Sales Log'!$C:$C)</f>
        <v>0</v>
      </c>
      <c r="E328" s="22">
        <f>COUNTIF('Sales Log'!$A:$A,A328)</f>
        <v>0</v>
      </c>
      <c r="F328" s="22">
        <f t="shared" si="5"/>
        <v>0</v>
      </c>
    </row>
    <row r="329" spans="1:6" x14ac:dyDescent="0.25">
      <c r="A329" s="8">
        <v>46570</v>
      </c>
      <c r="B329" s="22">
        <f>SUMIF('Sales Log'!$A:$A,A329,'Sales Log'!$F:$F)</f>
        <v>0</v>
      </c>
      <c r="C329" s="22">
        <f>SUMIF('Sales Log'!$A:$A,A329,'Sales Log'!$G:$G)</f>
        <v>0</v>
      </c>
      <c r="D329" s="22">
        <f>SUMIF('Sales Log'!$A:$A,A329,'Sales Log'!$C:$C)</f>
        <v>0</v>
      </c>
      <c r="E329" s="22">
        <f>COUNTIF('Sales Log'!$A:$A,A329)</f>
        <v>0</v>
      </c>
      <c r="F329" s="22">
        <f t="shared" si="5"/>
        <v>0</v>
      </c>
    </row>
    <row r="330" spans="1:6" x14ac:dyDescent="0.25">
      <c r="A330" s="8">
        <v>46571</v>
      </c>
      <c r="B330" s="22">
        <f>SUMIF('Sales Log'!$A:$A,A330,'Sales Log'!$F:$F)</f>
        <v>0</v>
      </c>
      <c r="C330" s="22">
        <f>SUMIF('Sales Log'!$A:$A,A330,'Sales Log'!$G:$G)</f>
        <v>0</v>
      </c>
      <c r="D330" s="22">
        <f>SUMIF('Sales Log'!$A:$A,A330,'Sales Log'!$C:$C)</f>
        <v>0</v>
      </c>
      <c r="E330" s="22">
        <f>COUNTIF('Sales Log'!$A:$A,A330)</f>
        <v>0</v>
      </c>
      <c r="F330" s="22">
        <f t="shared" si="5"/>
        <v>0</v>
      </c>
    </row>
    <row r="331" spans="1:6" x14ac:dyDescent="0.25">
      <c r="A331" s="8">
        <v>46572</v>
      </c>
      <c r="B331" s="22">
        <f>SUMIF('Sales Log'!$A:$A,A331,'Sales Log'!$F:$F)</f>
        <v>0</v>
      </c>
      <c r="C331" s="22">
        <f>SUMIF('Sales Log'!$A:$A,A331,'Sales Log'!$G:$G)</f>
        <v>0</v>
      </c>
      <c r="D331" s="22">
        <f>SUMIF('Sales Log'!$A:$A,A331,'Sales Log'!$C:$C)</f>
        <v>0</v>
      </c>
      <c r="E331" s="22">
        <f>COUNTIF('Sales Log'!$A:$A,A331)</f>
        <v>0</v>
      </c>
      <c r="F331" s="22">
        <f t="shared" si="5"/>
        <v>0</v>
      </c>
    </row>
    <row r="332" spans="1:6" x14ac:dyDescent="0.25">
      <c r="A332" s="8">
        <v>46573</v>
      </c>
      <c r="B332" s="22">
        <f>SUMIF('Sales Log'!$A:$A,A332,'Sales Log'!$F:$F)</f>
        <v>0</v>
      </c>
      <c r="C332" s="22">
        <f>SUMIF('Sales Log'!$A:$A,A332,'Sales Log'!$G:$G)</f>
        <v>0</v>
      </c>
      <c r="D332" s="22">
        <f>SUMIF('Sales Log'!$A:$A,A332,'Sales Log'!$C:$C)</f>
        <v>0</v>
      </c>
      <c r="E332" s="22">
        <f>COUNTIF('Sales Log'!$A:$A,A332)</f>
        <v>0</v>
      </c>
      <c r="F332" s="22">
        <f t="shared" si="5"/>
        <v>0</v>
      </c>
    </row>
    <row r="333" spans="1:6" x14ac:dyDescent="0.25">
      <c r="A333" s="8">
        <v>46574</v>
      </c>
      <c r="B333" s="22">
        <f>SUMIF('Sales Log'!$A:$A,A333,'Sales Log'!$F:$F)</f>
        <v>0</v>
      </c>
      <c r="C333" s="22">
        <f>SUMIF('Sales Log'!$A:$A,A333,'Sales Log'!$G:$G)</f>
        <v>0</v>
      </c>
      <c r="D333" s="22">
        <f>SUMIF('Sales Log'!$A:$A,A333,'Sales Log'!$C:$C)</f>
        <v>0</v>
      </c>
      <c r="E333" s="22">
        <f>COUNTIF('Sales Log'!$A:$A,A333)</f>
        <v>0</v>
      </c>
      <c r="F333" s="22">
        <f t="shared" si="5"/>
        <v>0</v>
      </c>
    </row>
    <row r="334" spans="1:6" x14ac:dyDescent="0.25">
      <c r="A334" s="8">
        <v>46575</v>
      </c>
      <c r="B334" s="22">
        <f>SUMIF('Sales Log'!$A:$A,A334,'Sales Log'!$F:$F)</f>
        <v>0</v>
      </c>
      <c r="C334" s="22">
        <f>SUMIF('Sales Log'!$A:$A,A334,'Sales Log'!$G:$G)</f>
        <v>0</v>
      </c>
      <c r="D334" s="22">
        <f>SUMIF('Sales Log'!$A:$A,A334,'Sales Log'!$C:$C)</f>
        <v>0</v>
      </c>
      <c r="E334" s="22">
        <f>COUNTIF('Sales Log'!$A:$A,A334)</f>
        <v>0</v>
      </c>
      <c r="F334" s="22">
        <f t="shared" si="5"/>
        <v>0</v>
      </c>
    </row>
    <row r="335" spans="1:6" x14ac:dyDescent="0.25">
      <c r="A335" s="8">
        <v>46576</v>
      </c>
      <c r="B335" s="22">
        <f>SUMIF('Sales Log'!$A:$A,A335,'Sales Log'!$F:$F)</f>
        <v>0</v>
      </c>
      <c r="C335" s="22">
        <f>SUMIF('Sales Log'!$A:$A,A335,'Sales Log'!$G:$G)</f>
        <v>0</v>
      </c>
      <c r="D335" s="22">
        <f>SUMIF('Sales Log'!$A:$A,A335,'Sales Log'!$C:$C)</f>
        <v>0</v>
      </c>
      <c r="E335" s="22">
        <f>COUNTIF('Sales Log'!$A:$A,A335)</f>
        <v>0</v>
      </c>
      <c r="F335" s="22">
        <f t="shared" si="5"/>
        <v>0</v>
      </c>
    </row>
    <row r="336" spans="1:6" x14ac:dyDescent="0.25">
      <c r="A336" s="8">
        <v>46577</v>
      </c>
      <c r="B336" s="22">
        <f>SUMIF('Sales Log'!$A:$A,A336,'Sales Log'!$F:$F)</f>
        <v>0</v>
      </c>
      <c r="C336" s="22">
        <f>SUMIF('Sales Log'!$A:$A,A336,'Sales Log'!$G:$G)</f>
        <v>0</v>
      </c>
      <c r="D336" s="22">
        <f>SUMIF('Sales Log'!$A:$A,A336,'Sales Log'!$C:$C)</f>
        <v>0</v>
      </c>
      <c r="E336" s="22">
        <f>COUNTIF('Sales Log'!$A:$A,A336)</f>
        <v>0</v>
      </c>
      <c r="F336" s="22">
        <f t="shared" si="5"/>
        <v>0</v>
      </c>
    </row>
    <row r="337" spans="1:6" x14ac:dyDescent="0.25">
      <c r="A337" s="8">
        <v>46578</v>
      </c>
      <c r="B337" s="22">
        <f>SUMIF('Sales Log'!$A:$A,A337,'Sales Log'!$F:$F)</f>
        <v>0</v>
      </c>
      <c r="C337" s="22">
        <f>SUMIF('Sales Log'!$A:$A,A337,'Sales Log'!$G:$G)</f>
        <v>0</v>
      </c>
      <c r="D337" s="22">
        <f>SUMIF('Sales Log'!$A:$A,A337,'Sales Log'!$C:$C)</f>
        <v>0</v>
      </c>
      <c r="E337" s="22">
        <f>COUNTIF('Sales Log'!$A:$A,A337)</f>
        <v>0</v>
      </c>
      <c r="F337" s="22">
        <f t="shared" si="5"/>
        <v>0</v>
      </c>
    </row>
    <row r="338" spans="1:6" x14ac:dyDescent="0.25">
      <c r="A338" s="8">
        <v>46579</v>
      </c>
      <c r="B338" s="22">
        <f>SUMIF('Sales Log'!$A:$A,A338,'Sales Log'!$F:$F)</f>
        <v>0</v>
      </c>
      <c r="C338" s="22">
        <f>SUMIF('Sales Log'!$A:$A,A338,'Sales Log'!$G:$G)</f>
        <v>0</v>
      </c>
      <c r="D338" s="22">
        <f>SUMIF('Sales Log'!$A:$A,A338,'Sales Log'!$C:$C)</f>
        <v>0</v>
      </c>
      <c r="E338" s="22">
        <f>COUNTIF('Sales Log'!$A:$A,A338)</f>
        <v>0</v>
      </c>
      <c r="F338" s="22">
        <f t="shared" si="5"/>
        <v>0</v>
      </c>
    </row>
    <row r="339" spans="1:6" x14ac:dyDescent="0.25">
      <c r="A339" s="8">
        <v>46580</v>
      </c>
      <c r="B339" s="22">
        <f>SUMIF('Sales Log'!$A:$A,A339,'Sales Log'!$F:$F)</f>
        <v>0</v>
      </c>
      <c r="C339" s="22">
        <f>SUMIF('Sales Log'!$A:$A,A339,'Sales Log'!$G:$G)</f>
        <v>0</v>
      </c>
      <c r="D339" s="22">
        <f>SUMIF('Sales Log'!$A:$A,A339,'Sales Log'!$C:$C)</f>
        <v>0</v>
      </c>
      <c r="E339" s="22">
        <f>COUNTIF('Sales Log'!$A:$A,A339)</f>
        <v>0</v>
      </c>
      <c r="F339" s="22">
        <f t="shared" si="5"/>
        <v>0</v>
      </c>
    </row>
    <row r="340" spans="1:6" x14ac:dyDescent="0.25">
      <c r="A340" s="8">
        <v>46581</v>
      </c>
      <c r="B340" s="22">
        <f>SUMIF('Sales Log'!$A:$A,A340,'Sales Log'!$F:$F)</f>
        <v>0</v>
      </c>
      <c r="C340" s="22">
        <f>SUMIF('Sales Log'!$A:$A,A340,'Sales Log'!$G:$G)</f>
        <v>0</v>
      </c>
      <c r="D340" s="22">
        <f>SUMIF('Sales Log'!$A:$A,A340,'Sales Log'!$C:$C)</f>
        <v>0</v>
      </c>
      <c r="E340" s="22">
        <f>COUNTIF('Sales Log'!$A:$A,A340)</f>
        <v>0</v>
      </c>
      <c r="F340" s="22">
        <f t="shared" si="5"/>
        <v>0</v>
      </c>
    </row>
    <row r="341" spans="1:6" x14ac:dyDescent="0.25">
      <c r="A341" s="8">
        <v>46582</v>
      </c>
      <c r="B341" s="22">
        <f>SUMIF('Sales Log'!$A:$A,A341,'Sales Log'!$F:$F)</f>
        <v>0</v>
      </c>
      <c r="C341" s="22">
        <f>SUMIF('Sales Log'!$A:$A,A341,'Sales Log'!$G:$G)</f>
        <v>0</v>
      </c>
      <c r="D341" s="22">
        <f>SUMIF('Sales Log'!$A:$A,A341,'Sales Log'!$C:$C)</f>
        <v>0</v>
      </c>
      <c r="E341" s="22">
        <f>COUNTIF('Sales Log'!$A:$A,A341)</f>
        <v>0</v>
      </c>
      <c r="F341" s="22">
        <f t="shared" si="5"/>
        <v>0</v>
      </c>
    </row>
    <row r="342" spans="1:6" x14ac:dyDescent="0.25">
      <c r="A342" s="8">
        <v>46583</v>
      </c>
      <c r="B342" s="22">
        <f>SUMIF('Sales Log'!$A:$A,A342,'Sales Log'!$F:$F)</f>
        <v>0</v>
      </c>
      <c r="C342" s="22">
        <f>SUMIF('Sales Log'!$A:$A,A342,'Sales Log'!$G:$G)</f>
        <v>0</v>
      </c>
      <c r="D342" s="22">
        <f>SUMIF('Sales Log'!$A:$A,A342,'Sales Log'!$C:$C)</f>
        <v>0</v>
      </c>
      <c r="E342" s="22">
        <f>COUNTIF('Sales Log'!$A:$A,A342)</f>
        <v>0</v>
      </c>
      <c r="F342" s="22">
        <f t="shared" si="5"/>
        <v>0</v>
      </c>
    </row>
    <row r="343" spans="1:6" x14ac:dyDescent="0.25">
      <c r="A343" s="8">
        <v>46584</v>
      </c>
      <c r="B343" s="22">
        <f>SUMIF('Sales Log'!$A:$A,A343,'Sales Log'!$F:$F)</f>
        <v>0</v>
      </c>
      <c r="C343" s="22">
        <f>SUMIF('Sales Log'!$A:$A,A343,'Sales Log'!$G:$G)</f>
        <v>0</v>
      </c>
      <c r="D343" s="22">
        <f>SUMIF('Sales Log'!$A:$A,A343,'Sales Log'!$C:$C)</f>
        <v>0</v>
      </c>
      <c r="E343" s="22">
        <f>COUNTIF('Sales Log'!$A:$A,A343)</f>
        <v>0</v>
      </c>
      <c r="F343" s="22">
        <f t="shared" si="5"/>
        <v>0</v>
      </c>
    </row>
    <row r="344" spans="1:6" x14ac:dyDescent="0.25">
      <c r="A344" s="8">
        <v>46585</v>
      </c>
      <c r="B344" s="22">
        <f>SUMIF('Sales Log'!$A:$A,A344,'Sales Log'!$F:$F)</f>
        <v>0</v>
      </c>
      <c r="C344" s="22">
        <f>SUMIF('Sales Log'!$A:$A,A344,'Sales Log'!$G:$G)</f>
        <v>0</v>
      </c>
      <c r="D344" s="22">
        <f>SUMIF('Sales Log'!$A:$A,A344,'Sales Log'!$C:$C)</f>
        <v>0</v>
      </c>
      <c r="E344" s="22">
        <f>COUNTIF('Sales Log'!$A:$A,A344)</f>
        <v>0</v>
      </c>
      <c r="F344" s="22">
        <f t="shared" si="5"/>
        <v>0</v>
      </c>
    </row>
    <row r="345" spans="1:6" x14ac:dyDescent="0.25">
      <c r="A345" s="8">
        <v>46586</v>
      </c>
      <c r="B345" s="22">
        <f>SUMIF('Sales Log'!$A:$A,A345,'Sales Log'!$F:$F)</f>
        <v>0</v>
      </c>
      <c r="C345" s="22">
        <f>SUMIF('Sales Log'!$A:$A,A345,'Sales Log'!$G:$G)</f>
        <v>0</v>
      </c>
      <c r="D345" s="22">
        <f>SUMIF('Sales Log'!$A:$A,A345,'Sales Log'!$C:$C)</f>
        <v>0</v>
      </c>
      <c r="E345" s="22">
        <f>COUNTIF('Sales Log'!$A:$A,A345)</f>
        <v>0</v>
      </c>
      <c r="F345" s="22">
        <f t="shared" si="5"/>
        <v>0</v>
      </c>
    </row>
    <row r="346" spans="1:6" x14ac:dyDescent="0.25">
      <c r="A346" s="8">
        <v>46587</v>
      </c>
      <c r="B346" s="22">
        <f>SUMIF('Sales Log'!$A:$A,A346,'Sales Log'!$F:$F)</f>
        <v>0</v>
      </c>
      <c r="C346" s="22">
        <f>SUMIF('Sales Log'!$A:$A,A346,'Sales Log'!$G:$G)</f>
        <v>0</v>
      </c>
      <c r="D346" s="22">
        <f>SUMIF('Sales Log'!$A:$A,A346,'Sales Log'!$C:$C)</f>
        <v>0</v>
      </c>
      <c r="E346" s="22">
        <f>COUNTIF('Sales Log'!$A:$A,A346)</f>
        <v>0</v>
      </c>
      <c r="F346" s="22">
        <f t="shared" si="5"/>
        <v>0</v>
      </c>
    </row>
    <row r="347" spans="1:6" x14ac:dyDescent="0.25">
      <c r="A347" s="8">
        <v>46588</v>
      </c>
      <c r="B347" s="22">
        <f>SUMIF('Sales Log'!$A:$A,A347,'Sales Log'!$F:$F)</f>
        <v>0</v>
      </c>
      <c r="C347" s="22">
        <f>SUMIF('Sales Log'!$A:$A,A347,'Sales Log'!$G:$G)</f>
        <v>0</v>
      </c>
      <c r="D347" s="22">
        <f>SUMIF('Sales Log'!$A:$A,A347,'Sales Log'!$C:$C)</f>
        <v>0</v>
      </c>
      <c r="E347" s="22">
        <f>COUNTIF('Sales Log'!$A:$A,A347)</f>
        <v>0</v>
      </c>
      <c r="F347" s="22">
        <f t="shared" si="5"/>
        <v>0</v>
      </c>
    </row>
    <row r="348" spans="1:6" x14ac:dyDescent="0.25">
      <c r="A348" s="8">
        <v>46589</v>
      </c>
      <c r="B348" s="22">
        <f>SUMIF('Sales Log'!$A:$A,A348,'Sales Log'!$F:$F)</f>
        <v>0</v>
      </c>
      <c r="C348" s="22">
        <f>SUMIF('Sales Log'!$A:$A,A348,'Sales Log'!$G:$G)</f>
        <v>0</v>
      </c>
      <c r="D348" s="22">
        <f>SUMIF('Sales Log'!$A:$A,A348,'Sales Log'!$C:$C)</f>
        <v>0</v>
      </c>
      <c r="E348" s="22">
        <f>COUNTIF('Sales Log'!$A:$A,A348)</f>
        <v>0</v>
      </c>
      <c r="F348" s="22">
        <f t="shared" si="5"/>
        <v>0</v>
      </c>
    </row>
    <row r="349" spans="1:6" x14ac:dyDescent="0.25">
      <c r="A349" s="8">
        <v>46590</v>
      </c>
      <c r="B349" s="22">
        <f>SUMIF('Sales Log'!$A:$A,A349,'Sales Log'!$F:$F)</f>
        <v>0</v>
      </c>
      <c r="C349" s="22">
        <f>SUMIF('Sales Log'!$A:$A,A349,'Sales Log'!$G:$G)</f>
        <v>0</v>
      </c>
      <c r="D349" s="22">
        <f>SUMIF('Sales Log'!$A:$A,A349,'Sales Log'!$C:$C)</f>
        <v>0</v>
      </c>
      <c r="E349" s="22">
        <f>COUNTIF('Sales Log'!$A:$A,A349)</f>
        <v>0</v>
      </c>
      <c r="F349" s="22">
        <f t="shared" si="5"/>
        <v>0</v>
      </c>
    </row>
    <row r="350" spans="1:6" x14ac:dyDescent="0.25">
      <c r="A350" s="8">
        <v>46591</v>
      </c>
      <c r="B350" s="22">
        <f>SUMIF('Sales Log'!$A:$A,A350,'Sales Log'!$F:$F)</f>
        <v>0</v>
      </c>
      <c r="C350" s="22">
        <f>SUMIF('Sales Log'!$A:$A,A350,'Sales Log'!$G:$G)</f>
        <v>0</v>
      </c>
      <c r="D350" s="22">
        <f>SUMIF('Sales Log'!$A:$A,A350,'Sales Log'!$C:$C)</f>
        <v>0</v>
      </c>
      <c r="E350" s="22">
        <f>COUNTIF('Sales Log'!$A:$A,A350)</f>
        <v>0</v>
      </c>
      <c r="F350" s="22">
        <f t="shared" si="5"/>
        <v>0</v>
      </c>
    </row>
    <row r="351" spans="1:6" x14ac:dyDescent="0.25">
      <c r="A351" s="8">
        <v>46592</v>
      </c>
      <c r="B351" s="22">
        <f>SUMIF('Sales Log'!$A:$A,A351,'Sales Log'!$F:$F)</f>
        <v>0</v>
      </c>
      <c r="C351" s="22">
        <f>SUMIF('Sales Log'!$A:$A,A351,'Sales Log'!$G:$G)</f>
        <v>0</v>
      </c>
      <c r="D351" s="22">
        <f>SUMIF('Sales Log'!$A:$A,A351,'Sales Log'!$C:$C)</f>
        <v>0</v>
      </c>
      <c r="E351" s="22">
        <f>COUNTIF('Sales Log'!$A:$A,A351)</f>
        <v>0</v>
      </c>
      <c r="F351" s="22">
        <f t="shared" si="5"/>
        <v>0</v>
      </c>
    </row>
    <row r="352" spans="1:6" x14ac:dyDescent="0.25">
      <c r="A352" s="8">
        <v>46593</v>
      </c>
      <c r="B352" s="22">
        <f>SUMIF('Sales Log'!$A:$A,A352,'Sales Log'!$F:$F)</f>
        <v>0</v>
      </c>
      <c r="C352" s="22">
        <f>SUMIF('Sales Log'!$A:$A,A352,'Sales Log'!$G:$G)</f>
        <v>0</v>
      </c>
      <c r="D352" s="22">
        <f>SUMIF('Sales Log'!$A:$A,A352,'Sales Log'!$C:$C)</f>
        <v>0</v>
      </c>
      <c r="E352" s="22">
        <f>COUNTIF('Sales Log'!$A:$A,A352)</f>
        <v>0</v>
      </c>
      <c r="F352" s="22">
        <f t="shared" si="5"/>
        <v>0</v>
      </c>
    </row>
    <row r="353" spans="1:6" x14ac:dyDescent="0.25">
      <c r="A353" s="8">
        <v>46594</v>
      </c>
      <c r="B353" s="22">
        <f>SUMIF('Sales Log'!$A:$A,A353,'Sales Log'!$F:$F)</f>
        <v>0</v>
      </c>
      <c r="C353" s="22">
        <f>SUMIF('Sales Log'!$A:$A,A353,'Sales Log'!$G:$G)</f>
        <v>0</v>
      </c>
      <c r="D353" s="22">
        <f>SUMIF('Sales Log'!$A:$A,A353,'Sales Log'!$C:$C)</f>
        <v>0</v>
      </c>
      <c r="E353" s="22">
        <f>COUNTIF('Sales Log'!$A:$A,A353)</f>
        <v>0</v>
      </c>
      <c r="F353" s="22">
        <f t="shared" si="5"/>
        <v>0</v>
      </c>
    </row>
    <row r="354" spans="1:6" x14ac:dyDescent="0.25">
      <c r="A354" s="8">
        <v>46595</v>
      </c>
      <c r="B354" s="22">
        <f>SUMIF('Sales Log'!$A:$A,A354,'Sales Log'!$F:$F)</f>
        <v>0</v>
      </c>
      <c r="C354" s="22">
        <f>SUMIF('Sales Log'!$A:$A,A354,'Sales Log'!$G:$G)</f>
        <v>0</v>
      </c>
      <c r="D354" s="22">
        <f>SUMIF('Sales Log'!$A:$A,A354,'Sales Log'!$C:$C)</f>
        <v>0</v>
      </c>
      <c r="E354" s="22">
        <f>COUNTIF('Sales Log'!$A:$A,A354)</f>
        <v>0</v>
      </c>
      <c r="F354" s="22">
        <f t="shared" si="5"/>
        <v>0</v>
      </c>
    </row>
    <row r="355" spans="1:6" x14ac:dyDescent="0.25">
      <c r="A355" s="8">
        <v>46596</v>
      </c>
      <c r="B355" s="22">
        <f>SUMIF('Sales Log'!$A:$A,A355,'Sales Log'!$F:$F)</f>
        <v>0</v>
      </c>
      <c r="C355" s="22">
        <f>SUMIF('Sales Log'!$A:$A,A355,'Sales Log'!$G:$G)</f>
        <v>0</v>
      </c>
      <c r="D355" s="22">
        <f>SUMIF('Sales Log'!$A:$A,A355,'Sales Log'!$C:$C)</f>
        <v>0</v>
      </c>
      <c r="E355" s="22">
        <f>COUNTIF('Sales Log'!$A:$A,A355)</f>
        <v>0</v>
      </c>
      <c r="F355" s="22">
        <f t="shared" si="5"/>
        <v>0</v>
      </c>
    </row>
    <row r="356" spans="1:6" x14ac:dyDescent="0.25">
      <c r="A356" s="8">
        <v>46597</v>
      </c>
      <c r="B356" s="22">
        <f>SUMIF('Sales Log'!$A:$A,A356,'Sales Log'!$F:$F)</f>
        <v>0</v>
      </c>
      <c r="C356" s="22">
        <f>SUMIF('Sales Log'!$A:$A,A356,'Sales Log'!$G:$G)</f>
        <v>0</v>
      </c>
      <c r="D356" s="22">
        <f>SUMIF('Sales Log'!$A:$A,A356,'Sales Log'!$C:$C)</f>
        <v>0</v>
      </c>
      <c r="E356" s="22">
        <f>COUNTIF('Sales Log'!$A:$A,A356)</f>
        <v>0</v>
      </c>
      <c r="F356" s="22">
        <f t="shared" si="5"/>
        <v>0</v>
      </c>
    </row>
    <row r="357" spans="1:6" x14ac:dyDescent="0.25">
      <c r="A357" s="8">
        <v>46598</v>
      </c>
      <c r="B357" s="22">
        <f>SUMIF('Sales Log'!$A:$A,A357,'Sales Log'!$F:$F)</f>
        <v>0</v>
      </c>
      <c r="C357" s="22">
        <f>SUMIF('Sales Log'!$A:$A,A357,'Sales Log'!$G:$G)</f>
        <v>0</v>
      </c>
      <c r="D357" s="22">
        <f>SUMIF('Sales Log'!$A:$A,A357,'Sales Log'!$C:$C)</f>
        <v>0</v>
      </c>
      <c r="E357" s="22">
        <f>COUNTIF('Sales Log'!$A:$A,A357)</f>
        <v>0</v>
      </c>
      <c r="F357" s="22">
        <f t="shared" si="5"/>
        <v>0</v>
      </c>
    </row>
    <row r="358" spans="1:6" x14ac:dyDescent="0.25">
      <c r="A358" s="8">
        <v>46599</v>
      </c>
      <c r="B358" s="22">
        <f>SUMIF('Sales Log'!$A:$A,A358,'Sales Log'!$F:$F)</f>
        <v>0</v>
      </c>
      <c r="C358" s="22">
        <f>SUMIF('Sales Log'!$A:$A,A358,'Sales Log'!$G:$G)</f>
        <v>0</v>
      </c>
      <c r="D358" s="22">
        <f>SUMIF('Sales Log'!$A:$A,A358,'Sales Log'!$C:$C)</f>
        <v>0</v>
      </c>
      <c r="E358" s="22">
        <f>COUNTIF('Sales Log'!$A:$A,A358)</f>
        <v>0</v>
      </c>
      <c r="F358" s="22">
        <f t="shared" si="5"/>
        <v>0</v>
      </c>
    </row>
    <row r="359" spans="1:6" x14ac:dyDescent="0.25">
      <c r="A359" s="8">
        <v>46600</v>
      </c>
      <c r="B359" s="22">
        <f>SUMIF('Sales Log'!$A:$A,A359,'Sales Log'!$F:$F)</f>
        <v>0</v>
      </c>
      <c r="C359" s="22">
        <f>SUMIF('Sales Log'!$A:$A,A359,'Sales Log'!$G:$G)</f>
        <v>0</v>
      </c>
      <c r="D359" s="22">
        <f>SUMIF('Sales Log'!$A:$A,A359,'Sales Log'!$C:$C)</f>
        <v>0</v>
      </c>
      <c r="E359" s="22">
        <f>COUNTIF('Sales Log'!$A:$A,A359)</f>
        <v>0</v>
      </c>
      <c r="F359" s="22">
        <f t="shared" si="5"/>
        <v>0</v>
      </c>
    </row>
    <row r="360" spans="1:6" x14ac:dyDescent="0.25">
      <c r="A360" s="8">
        <v>46601</v>
      </c>
      <c r="B360" s="22">
        <f>SUMIF('Sales Log'!$A:$A,A360,'Sales Log'!$F:$F)</f>
        <v>0</v>
      </c>
      <c r="C360" s="22">
        <f>SUMIF('Sales Log'!$A:$A,A360,'Sales Log'!$G:$G)</f>
        <v>0</v>
      </c>
      <c r="D360" s="22">
        <f>SUMIF('Sales Log'!$A:$A,A360,'Sales Log'!$C:$C)</f>
        <v>0</v>
      </c>
      <c r="E360" s="22">
        <f>COUNTIF('Sales Log'!$A:$A,A360)</f>
        <v>0</v>
      </c>
      <c r="F360" s="22">
        <f t="shared" si="5"/>
        <v>0</v>
      </c>
    </row>
    <row r="361" spans="1:6" x14ac:dyDescent="0.25">
      <c r="A361" s="8">
        <v>46602</v>
      </c>
      <c r="B361" s="22">
        <f>SUMIF('Sales Log'!$A:$A,A361,'Sales Log'!$F:$F)</f>
        <v>0</v>
      </c>
      <c r="C361" s="22">
        <f>SUMIF('Sales Log'!$A:$A,A361,'Sales Log'!$G:$G)</f>
        <v>0</v>
      </c>
      <c r="D361" s="22">
        <f>SUMIF('Sales Log'!$A:$A,A361,'Sales Log'!$C:$C)</f>
        <v>0</v>
      </c>
      <c r="E361" s="22">
        <f>COUNTIF('Sales Log'!$A:$A,A361)</f>
        <v>0</v>
      </c>
      <c r="F361" s="22">
        <f t="shared" si="5"/>
        <v>0</v>
      </c>
    </row>
    <row r="362" spans="1:6" x14ac:dyDescent="0.25">
      <c r="A362" s="8">
        <v>46603</v>
      </c>
      <c r="B362" s="22">
        <f>SUMIF('Sales Log'!$A:$A,A362,'Sales Log'!$F:$F)</f>
        <v>0</v>
      </c>
      <c r="C362" s="22">
        <f>SUMIF('Sales Log'!$A:$A,A362,'Sales Log'!$G:$G)</f>
        <v>0</v>
      </c>
      <c r="D362" s="22">
        <f>SUMIF('Sales Log'!$A:$A,A362,'Sales Log'!$C:$C)</f>
        <v>0</v>
      </c>
      <c r="E362" s="22">
        <f>COUNTIF('Sales Log'!$A:$A,A362)</f>
        <v>0</v>
      </c>
      <c r="F362" s="22">
        <f t="shared" si="5"/>
        <v>0</v>
      </c>
    </row>
    <row r="363" spans="1:6" x14ac:dyDescent="0.25">
      <c r="A363" s="8">
        <v>46604</v>
      </c>
      <c r="B363" s="22">
        <f>SUMIF('Sales Log'!$A:$A,A363,'Sales Log'!$F:$F)</f>
        <v>0</v>
      </c>
      <c r="C363" s="22">
        <f>SUMIF('Sales Log'!$A:$A,A363,'Sales Log'!$G:$G)</f>
        <v>0</v>
      </c>
      <c r="D363" s="22">
        <f>SUMIF('Sales Log'!$A:$A,A363,'Sales Log'!$C:$C)</f>
        <v>0</v>
      </c>
      <c r="E363" s="22">
        <f>COUNTIF('Sales Log'!$A:$A,A363)</f>
        <v>0</v>
      </c>
      <c r="F363" s="22">
        <f t="shared" si="5"/>
        <v>0</v>
      </c>
    </row>
    <row r="364" spans="1:6" x14ac:dyDescent="0.25">
      <c r="A364" s="8">
        <v>46605</v>
      </c>
      <c r="B364" s="22">
        <f>SUMIF('Sales Log'!$A:$A,A364,'Sales Log'!$F:$F)</f>
        <v>0</v>
      </c>
      <c r="C364" s="22">
        <f>SUMIF('Sales Log'!$A:$A,A364,'Sales Log'!$G:$G)</f>
        <v>0</v>
      </c>
      <c r="D364" s="22">
        <f>SUMIF('Sales Log'!$A:$A,A364,'Sales Log'!$C:$C)</f>
        <v>0</v>
      </c>
      <c r="E364" s="22">
        <f>COUNTIF('Sales Log'!$A:$A,A364)</f>
        <v>0</v>
      </c>
      <c r="F364" s="22">
        <f t="shared" si="5"/>
        <v>0</v>
      </c>
    </row>
    <row r="365" spans="1:6" x14ac:dyDescent="0.25">
      <c r="A365" s="8">
        <v>46606</v>
      </c>
      <c r="B365" s="22">
        <f>SUMIF('Sales Log'!$A:$A,A365,'Sales Log'!$F:$F)</f>
        <v>0</v>
      </c>
      <c r="C365" s="22">
        <f>SUMIF('Sales Log'!$A:$A,A365,'Sales Log'!$G:$G)</f>
        <v>0</v>
      </c>
      <c r="D365" s="22">
        <f>SUMIF('Sales Log'!$A:$A,A365,'Sales Log'!$C:$C)</f>
        <v>0</v>
      </c>
      <c r="E365" s="22">
        <f>COUNTIF('Sales Log'!$A:$A,A365)</f>
        <v>0</v>
      </c>
      <c r="F365" s="22">
        <f t="shared" si="5"/>
        <v>0</v>
      </c>
    </row>
    <row r="366" spans="1:6" x14ac:dyDescent="0.25">
      <c r="A366" s="8">
        <v>46607</v>
      </c>
      <c r="B366" s="22">
        <f>SUMIF('Sales Log'!$A:$A,A366,'Sales Log'!$F:$F)</f>
        <v>0</v>
      </c>
      <c r="C366" s="22">
        <f>SUMIF('Sales Log'!$A:$A,A366,'Sales Log'!$G:$G)</f>
        <v>0</v>
      </c>
      <c r="D366" s="22">
        <f>SUMIF('Sales Log'!$A:$A,A366,'Sales Log'!$C:$C)</f>
        <v>0</v>
      </c>
      <c r="E366" s="22">
        <f>COUNTIF('Sales Log'!$A:$A,A366)</f>
        <v>0</v>
      </c>
      <c r="F366" s="22">
        <f t="shared" si="5"/>
        <v>0</v>
      </c>
    </row>
    <row r="367" spans="1:6" x14ac:dyDescent="0.25">
      <c r="A367" s="8">
        <v>46608</v>
      </c>
      <c r="B367" s="22">
        <f>SUMIF('Sales Log'!$A:$A,A367,'Sales Log'!$F:$F)</f>
        <v>0</v>
      </c>
      <c r="C367" s="22">
        <f>SUMIF('Sales Log'!$A:$A,A367,'Sales Log'!$G:$G)</f>
        <v>0</v>
      </c>
      <c r="D367" s="22">
        <f>SUMIF('Sales Log'!$A:$A,A367,'Sales Log'!$C:$C)</f>
        <v>0</v>
      </c>
      <c r="E367" s="22">
        <f>COUNTIF('Sales Log'!$A:$A,A367)</f>
        <v>0</v>
      </c>
      <c r="F367" s="22">
        <f t="shared" si="5"/>
        <v>0</v>
      </c>
    </row>
    <row r="368" spans="1:6" x14ac:dyDescent="0.25">
      <c r="A368" s="8">
        <v>46609</v>
      </c>
      <c r="B368" s="22">
        <f>SUMIF('Sales Log'!$A:$A,A368,'Sales Log'!$F:$F)</f>
        <v>0</v>
      </c>
      <c r="C368" s="22">
        <f>SUMIF('Sales Log'!$A:$A,A368,'Sales Log'!$G:$G)</f>
        <v>0</v>
      </c>
      <c r="D368" s="22">
        <f>SUMIF('Sales Log'!$A:$A,A368,'Sales Log'!$C:$C)</f>
        <v>0</v>
      </c>
      <c r="E368" s="22">
        <f>COUNTIF('Sales Log'!$A:$A,A368)</f>
        <v>0</v>
      </c>
      <c r="F368" s="22">
        <f t="shared" si="5"/>
        <v>0</v>
      </c>
    </row>
    <row r="369" spans="1:6" x14ac:dyDescent="0.25">
      <c r="A369" s="8">
        <v>46610</v>
      </c>
      <c r="B369" s="22">
        <f>SUMIF('Sales Log'!$A:$A,A369,'Sales Log'!$F:$F)</f>
        <v>0</v>
      </c>
      <c r="C369" s="22">
        <f>SUMIF('Sales Log'!$A:$A,A369,'Sales Log'!$G:$G)</f>
        <v>0</v>
      </c>
      <c r="D369" s="22">
        <f>SUMIF('Sales Log'!$A:$A,A369,'Sales Log'!$C:$C)</f>
        <v>0</v>
      </c>
      <c r="E369" s="22">
        <f>COUNTIF('Sales Log'!$A:$A,A369)</f>
        <v>0</v>
      </c>
      <c r="F369" s="22">
        <f t="shared" si="5"/>
        <v>0</v>
      </c>
    </row>
    <row r="370" spans="1:6" x14ac:dyDescent="0.25">
      <c r="A370" s="8">
        <v>46611</v>
      </c>
      <c r="B370" s="22">
        <f>SUMIF('Sales Log'!$A:$A,A370,'Sales Log'!$F:$F)</f>
        <v>0</v>
      </c>
      <c r="C370" s="22">
        <f>SUMIF('Sales Log'!$A:$A,A370,'Sales Log'!$G:$G)</f>
        <v>0</v>
      </c>
      <c r="D370" s="22">
        <f>SUMIF('Sales Log'!$A:$A,A370,'Sales Log'!$C:$C)</f>
        <v>0</v>
      </c>
      <c r="E370" s="22">
        <f>COUNTIF('Sales Log'!$A:$A,A370)</f>
        <v>0</v>
      </c>
      <c r="F370" s="22">
        <f t="shared" si="5"/>
        <v>0</v>
      </c>
    </row>
    <row r="371" spans="1:6" x14ac:dyDescent="0.25">
      <c r="A371" s="8">
        <v>46612</v>
      </c>
      <c r="B371" s="22">
        <f>SUMIF('Sales Log'!$A:$A,A371,'Sales Log'!$F:$F)</f>
        <v>0</v>
      </c>
      <c r="C371" s="22">
        <f>SUMIF('Sales Log'!$A:$A,A371,'Sales Log'!$G:$G)</f>
        <v>0</v>
      </c>
      <c r="D371" s="22">
        <f>SUMIF('Sales Log'!$A:$A,A371,'Sales Log'!$C:$C)</f>
        <v>0</v>
      </c>
      <c r="E371" s="22">
        <f>COUNTIF('Sales Log'!$A:$A,A371)</f>
        <v>0</v>
      </c>
      <c r="F371" s="22">
        <f t="shared" si="5"/>
        <v>0</v>
      </c>
    </row>
    <row r="372" spans="1:6" x14ac:dyDescent="0.25">
      <c r="A372" s="8">
        <v>46613</v>
      </c>
      <c r="B372" s="22">
        <f>SUMIF('Sales Log'!$A:$A,A372,'Sales Log'!$F:$F)</f>
        <v>0</v>
      </c>
      <c r="C372" s="22">
        <f>SUMIF('Sales Log'!$A:$A,A372,'Sales Log'!$G:$G)</f>
        <v>0</v>
      </c>
      <c r="D372" s="22">
        <f>SUMIF('Sales Log'!$A:$A,A372,'Sales Log'!$C:$C)</f>
        <v>0</v>
      </c>
      <c r="E372" s="22">
        <f>COUNTIF('Sales Log'!$A:$A,A372)</f>
        <v>0</v>
      </c>
      <c r="F372" s="22">
        <f t="shared" si="5"/>
        <v>0</v>
      </c>
    </row>
    <row r="373" spans="1:6" x14ac:dyDescent="0.25">
      <c r="A373" s="8">
        <v>46614</v>
      </c>
      <c r="B373" s="22">
        <f>SUMIF('Sales Log'!$A:$A,A373,'Sales Log'!$F:$F)</f>
        <v>0</v>
      </c>
      <c r="C373" s="22">
        <f>SUMIF('Sales Log'!$A:$A,A373,'Sales Log'!$G:$G)</f>
        <v>0</v>
      </c>
      <c r="D373" s="22">
        <f>SUMIF('Sales Log'!$A:$A,A373,'Sales Log'!$C:$C)</f>
        <v>0</v>
      </c>
      <c r="E373" s="22">
        <f>COUNTIF('Sales Log'!$A:$A,A373)</f>
        <v>0</v>
      </c>
      <c r="F373" s="22">
        <f t="shared" si="5"/>
        <v>0</v>
      </c>
    </row>
    <row r="374" spans="1:6" x14ac:dyDescent="0.25">
      <c r="A374" s="8">
        <v>46615</v>
      </c>
      <c r="B374" s="22">
        <f>SUMIF('Sales Log'!$A:$A,A374,'Sales Log'!$F:$F)</f>
        <v>0</v>
      </c>
      <c r="C374" s="22">
        <f>SUMIF('Sales Log'!$A:$A,A374,'Sales Log'!$G:$G)</f>
        <v>0</v>
      </c>
      <c r="D374" s="22">
        <f>SUMIF('Sales Log'!$A:$A,A374,'Sales Log'!$C:$C)</f>
        <v>0</v>
      </c>
      <c r="E374" s="22">
        <f>COUNTIF('Sales Log'!$A:$A,A374)</f>
        <v>0</v>
      </c>
      <c r="F374" s="22">
        <f t="shared" si="5"/>
        <v>0</v>
      </c>
    </row>
    <row r="375" spans="1:6" x14ac:dyDescent="0.25">
      <c r="A375" s="8">
        <v>46616</v>
      </c>
      <c r="B375" s="22">
        <f>SUMIF('Sales Log'!$A:$A,A375,'Sales Log'!$F:$F)</f>
        <v>0</v>
      </c>
      <c r="C375" s="22">
        <f>SUMIF('Sales Log'!$A:$A,A375,'Sales Log'!$G:$G)</f>
        <v>0</v>
      </c>
      <c r="D375" s="22">
        <f>SUMIF('Sales Log'!$A:$A,A375,'Sales Log'!$C:$C)</f>
        <v>0</v>
      </c>
      <c r="E375" s="22">
        <f>COUNTIF('Sales Log'!$A:$A,A375)</f>
        <v>0</v>
      </c>
      <c r="F375" s="22">
        <f t="shared" si="5"/>
        <v>0</v>
      </c>
    </row>
    <row r="376" spans="1:6" x14ac:dyDescent="0.25">
      <c r="A376" s="8">
        <v>46617</v>
      </c>
      <c r="B376" s="22">
        <f>SUMIF('Sales Log'!$A:$A,A376,'Sales Log'!$F:$F)</f>
        <v>0</v>
      </c>
      <c r="C376" s="22">
        <f>SUMIF('Sales Log'!$A:$A,A376,'Sales Log'!$G:$G)</f>
        <v>0</v>
      </c>
      <c r="D376" s="22">
        <f>SUMIF('Sales Log'!$A:$A,A376,'Sales Log'!$C:$C)</f>
        <v>0</v>
      </c>
      <c r="E376" s="22">
        <f>COUNTIF('Sales Log'!$A:$A,A376)</f>
        <v>0</v>
      </c>
      <c r="F376" s="22">
        <f t="shared" si="5"/>
        <v>0</v>
      </c>
    </row>
    <row r="377" spans="1:6" x14ac:dyDescent="0.25">
      <c r="A377" s="8">
        <v>46618</v>
      </c>
      <c r="B377" s="22">
        <f>SUMIF('Sales Log'!$A:$A,A377,'Sales Log'!$F:$F)</f>
        <v>0</v>
      </c>
      <c r="C377" s="22">
        <f>SUMIF('Sales Log'!$A:$A,A377,'Sales Log'!$G:$G)</f>
        <v>0</v>
      </c>
      <c r="D377" s="22">
        <f>SUMIF('Sales Log'!$A:$A,A377,'Sales Log'!$C:$C)</f>
        <v>0</v>
      </c>
      <c r="E377" s="22">
        <f>COUNTIF('Sales Log'!$A:$A,A377)</f>
        <v>0</v>
      </c>
      <c r="F377" s="22">
        <f t="shared" si="5"/>
        <v>0</v>
      </c>
    </row>
    <row r="378" spans="1:6" x14ac:dyDescent="0.25">
      <c r="A378" s="8">
        <v>46619</v>
      </c>
      <c r="B378" s="22">
        <f>SUMIF('Sales Log'!$A:$A,A378,'Sales Log'!$F:$F)</f>
        <v>0</v>
      </c>
      <c r="C378" s="22">
        <f>SUMIF('Sales Log'!$A:$A,A378,'Sales Log'!$G:$G)</f>
        <v>0</v>
      </c>
      <c r="D378" s="22">
        <f>SUMIF('Sales Log'!$A:$A,A378,'Sales Log'!$C:$C)</f>
        <v>0</v>
      </c>
      <c r="E378" s="22">
        <f>COUNTIF('Sales Log'!$A:$A,A378)</f>
        <v>0</v>
      </c>
      <c r="F378" s="22">
        <f t="shared" si="5"/>
        <v>0</v>
      </c>
    </row>
    <row r="379" spans="1:6" x14ac:dyDescent="0.25">
      <c r="A379" s="8">
        <v>46620</v>
      </c>
      <c r="B379" s="22">
        <f>SUMIF('Sales Log'!$A:$A,A379,'Sales Log'!$F:$F)</f>
        <v>0</v>
      </c>
      <c r="C379" s="22">
        <f>SUMIF('Sales Log'!$A:$A,A379,'Sales Log'!$G:$G)</f>
        <v>0</v>
      </c>
      <c r="D379" s="22">
        <f>SUMIF('Sales Log'!$A:$A,A379,'Sales Log'!$C:$C)</f>
        <v>0</v>
      </c>
      <c r="E379" s="22">
        <f>COUNTIF('Sales Log'!$A:$A,A379)</f>
        <v>0</v>
      </c>
      <c r="F379" s="22">
        <f t="shared" si="5"/>
        <v>0</v>
      </c>
    </row>
    <row r="380" spans="1:6" x14ac:dyDescent="0.25">
      <c r="A380" s="8">
        <v>46621</v>
      </c>
      <c r="B380" s="22">
        <f>SUMIF('Sales Log'!$A:$A,A380,'Sales Log'!$F:$F)</f>
        <v>0</v>
      </c>
      <c r="C380" s="22">
        <f>SUMIF('Sales Log'!$A:$A,A380,'Sales Log'!$G:$G)</f>
        <v>0</v>
      </c>
      <c r="D380" s="22">
        <f>SUMIF('Sales Log'!$A:$A,A380,'Sales Log'!$C:$C)</f>
        <v>0</v>
      </c>
      <c r="E380" s="22">
        <f>COUNTIF('Sales Log'!$A:$A,A380)</f>
        <v>0</v>
      </c>
      <c r="F380" s="22">
        <f t="shared" si="5"/>
        <v>0</v>
      </c>
    </row>
    <row r="381" spans="1:6" x14ac:dyDescent="0.25">
      <c r="A381" s="8">
        <v>46622</v>
      </c>
      <c r="B381" s="22">
        <f>SUMIF('Sales Log'!$A:$A,A381,'Sales Log'!$F:$F)</f>
        <v>0</v>
      </c>
      <c r="C381" s="22">
        <f>SUMIF('Sales Log'!$A:$A,A381,'Sales Log'!$G:$G)</f>
        <v>0</v>
      </c>
      <c r="D381" s="22">
        <f>SUMIF('Sales Log'!$A:$A,A381,'Sales Log'!$C:$C)</f>
        <v>0</v>
      </c>
      <c r="E381" s="22">
        <f>COUNTIF('Sales Log'!$A:$A,A381)</f>
        <v>0</v>
      </c>
      <c r="F381" s="22">
        <f t="shared" si="5"/>
        <v>0</v>
      </c>
    </row>
    <row r="382" spans="1:6" x14ac:dyDescent="0.25">
      <c r="A382" s="8">
        <v>46623</v>
      </c>
      <c r="B382" s="22">
        <f>SUMIF('Sales Log'!$A:$A,A382,'Sales Log'!$F:$F)</f>
        <v>0</v>
      </c>
      <c r="C382" s="22">
        <f>SUMIF('Sales Log'!$A:$A,A382,'Sales Log'!$G:$G)</f>
        <v>0</v>
      </c>
      <c r="D382" s="22">
        <f>SUMIF('Sales Log'!$A:$A,A382,'Sales Log'!$C:$C)</f>
        <v>0</v>
      </c>
      <c r="E382" s="22">
        <f>COUNTIF('Sales Log'!$A:$A,A382)</f>
        <v>0</v>
      </c>
      <c r="F382" s="22">
        <f t="shared" si="5"/>
        <v>0</v>
      </c>
    </row>
    <row r="383" spans="1:6" x14ac:dyDescent="0.25">
      <c r="A383" s="8">
        <v>46624</v>
      </c>
      <c r="B383" s="22">
        <f>SUMIF('Sales Log'!$A:$A,A383,'Sales Log'!$F:$F)</f>
        <v>0</v>
      </c>
      <c r="C383" s="22">
        <f>SUMIF('Sales Log'!$A:$A,A383,'Sales Log'!$G:$G)</f>
        <v>0</v>
      </c>
      <c r="D383" s="22">
        <f>SUMIF('Sales Log'!$A:$A,A383,'Sales Log'!$C:$C)</f>
        <v>0</v>
      </c>
      <c r="E383" s="22">
        <f>COUNTIF('Sales Log'!$A:$A,A383)</f>
        <v>0</v>
      </c>
      <c r="F383" s="22">
        <f t="shared" si="5"/>
        <v>0</v>
      </c>
    </row>
    <row r="384" spans="1:6" x14ac:dyDescent="0.25">
      <c r="A384" s="8">
        <v>46625</v>
      </c>
      <c r="B384" s="22">
        <f>SUMIF('Sales Log'!$A:$A,A384,'Sales Log'!$F:$F)</f>
        <v>0</v>
      </c>
      <c r="C384" s="22">
        <f>SUMIF('Sales Log'!$A:$A,A384,'Sales Log'!$G:$G)</f>
        <v>0</v>
      </c>
      <c r="D384" s="22">
        <f>SUMIF('Sales Log'!$A:$A,A384,'Sales Log'!$C:$C)</f>
        <v>0</v>
      </c>
      <c r="E384" s="22">
        <f>COUNTIF('Sales Log'!$A:$A,A384)</f>
        <v>0</v>
      </c>
      <c r="F384" s="22">
        <f t="shared" si="5"/>
        <v>0</v>
      </c>
    </row>
    <row r="385" spans="1:6" x14ac:dyDescent="0.25">
      <c r="A385" s="8">
        <v>46626</v>
      </c>
      <c r="B385" s="22">
        <f>SUMIF('Sales Log'!$A:$A,A385,'Sales Log'!$F:$F)</f>
        <v>0</v>
      </c>
      <c r="C385" s="22">
        <f>SUMIF('Sales Log'!$A:$A,A385,'Sales Log'!$G:$G)</f>
        <v>0</v>
      </c>
      <c r="D385" s="22">
        <f>SUMIF('Sales Log'!$A:$A,A385,'Sales Log'!$C:$C)</f>
        <v>0</v>
      </c>
      <c r="E385" s="22">
        <f>COUNTIF('Sales Log'!$A:$A,A385)</f>
        <v>0</v>
      </c>
      <c r="F385" s="22">
        <f t="shared" si="5"/>
        <v>0</v>
      </c>
    </row>
    <row r="386" spans="1:6" x14ac:dyDescent="0.25">
      <c r="A386" s="8">
        <v>46627</v>
      </c>
      <c r="B386" s="22">
        <f>SUMIF('Sales Log'!$A:$A,A386,'Sales Log'!$F:$F)</f>
        <v>0</v>
      </c>
      <c r="C386" s="22">
        <f>SUMIF('Sales Log'!$A:$A,A386,'Sales Log'!$G:$G)</f>
        <v>0</v>
      </c>
      <c r="D386" s="22">
        <f>SUMIF('Sales Log'!$A:$A,A386,'Sales Log'!$C:$C)</f>
        <v>0</v>
      </c>
      <c r="E386" s="22">
        <f>COUNTIF('Sales Log'!$A:$A,A386)</f>
        <v>0</v>
      </c>
      <c r="F386" s="22">
        <f t="shared" si="5"/>
        <v>0</v>
      </c>
    </row>
    <row r="387" spans="1:6" x14ac:dyDescent="0.25">
      <c r="A387" s="8">
        <v>46628</v>
      </c>
      <c r="B387" s="22">
        <f>SUMIF('Sales Log'!$A:$A,A387,'Sales Log'!$F:$F)</f>
        <v>0</v>
      </c>
      <c r="C387" s="22">
        <f>SUMIF('Sales Log'!$A:$A,A387,'Sales Log'!$G:$G)</f>
        <v>0</v>
      </c>
      <c r="D387" s="22">
        <f>SUMIF('Sales Log'!$A:$A,A387,'Sales Log'!$C:$C)</f>
        <v>0</v>
      </c>
      <c r="E387" s="22">
        <f>COUNTIF('Sales Log'!$A:$A,A387)</f>
        <v>0</v>
      </c>
      <c r="F387" s="22">
        <f t="shared" si="5"/>
        <v>0</v>
      </c>
    </row>
    <row r="388" spans="1:6" x14ac:dyDescent="0.25">
      <c r="A388" s="8">
        <v>46629</v>
      </c>
      <c r="B388" s="22">
        <f>SUMIF('Sales Log'!$A:$A,A388,'Sales Log'!$F:$F)</f>
        <v>0</v>
      </c>
      <c r="C388" s="22">
        <f>SUMIF('Sales Log'!$A:$A,A388,'Sales Log'!$G:$G)</f>
        <v>0</v>
      </c>
      <c r="D388" s="22">
        <f>SUMIF('Sales Log'!$A:$A,A388,'Sales Log'!$C:$C)</f>
        <v>0</v>
      </c>
      <c r="E388" s="22">
        <f>COUNTIF('Sales Log'!$A:$A,A388)</f>
        <v>0</v>
      </c>
      <c r="F388" s="22">
        <f t="shared" si="5"/>
        <v>0</v>
      </c>
    </row>
    <row r="389" spans="1:6" x14ac:dyDescent="0.25">
      <c r="A389" s="8">
        <v>46630</v>
      </c>
      <c r="B389" s="22">
        <f>SUMIF('Sales Log'!$A:$A,A389,'Sales Log'!$F:$F)</f>
        <v>0</v>
      </c>
      <c r="C389" s="22">
        <f>SUMIF('Sales Log'!$A:$A,A389,'Sales Log'!$G:$G)</f>
        <v>0</v>
      </c>
      <c r="D389" s="22">
        <f>SUMIF('Sales Log'!$A:$A,A389,'Sales Log'!$C:$C)</f>
        <v>0</v>
      </c>
      <c r="E389" s="22">
        <f>COUNTIF('Sales Log'!$A:$A,A389)</f>
        <v>0</v>
      </c>
      <c r="F389" s="22">
        <f t="shared" ref="F389:F452" si="6">IF(B389=0,0,C389/B389)</f>
        <v>0</v>
      </c>
    </row>
    <row r="390" spans="1:6" x14ac:dyDescent="0.25">
      <c r="A390" s="8">
        <v>46631</v>
      </c>
      <c r="B390" s="22">
        <f>SUMIF('Sales Log'!$A:$A,A390,'Sales Log'!$F:$F)</f>
        <v>0</v>
      </c>
      <c r="C390" s="22">
        <f>SUMIF('Sales Log'!$A:$A,A390,'Sales Log'!$G:$G)</f>
        <v>0</v>
      </c>
      <c r="D390" s="22">
        <f>SUMIF('Sales Log'!$A:$A,A390,'Sales Log'!$C:$C)</f>
        <v>0</v>
      </c>
      <c r="E390" s="22">
        <f>COUNTIF('Sales Log'!$A:$A,A390)</f>
        <v>0</v>
      </c>
      <c r="F390" s="22">
        <f t="shared" si="6"/>
        <v>0</v>
      </c>
    </row>
    <row r="391" spans="1:6" x14ac:dyDescent="0.25">
      <c r="A391" s="8">
        <v>46632</v>
      </c>
      <c r="B391" s="22">
        <f>SUMIF('Sales Log'!$A:$A,A391,'Sales Log'!$F:$F)</f>
        <v>0</v>
      </c>
      <c r="C391" s="22">
        <f>SUMIF('Sales Log'!$A:$A,A391,'Sales Log'!$G:$G)</f>
        <v>0</v>
      </c>
      <c r="D391" s="22">
        <f>SUMIF('Sales Log'!$A:$A,A391,'Sales Log'!$C:$C)</f>
        <v>0</v>
      </c>
      <c r="E391" s="22">
        <f>COUNTIF('Sales Log'!$A:$A,A391)</f>
        <v>0</v>
      </c>
      <c r="F391" s="22">
        <f t="shared" si="6"/>
        <v>0</v>
      </c>
    </row>
    <row r="392" spans="1:6" x14ac:dyDescent="0.25">
      <c r="A392" s="8">
        <v>46633</v>
      </c>
      <c r="B392" s="22">
        <f>SUMIF('Sales Log'!$A:$A,A392,'Sales Log'!$F:$F)</f>
        <v>0</v>
      </c>
      <c r="C392" s="22">
        <f>SUMIF('Sales Log'!$A:$A,A392,'Sales Log'!$G:$G)</f>
        <v>0</v>
      </c>
      <c r="D392" s="22">
        <f>SUMIF('Sales Log'!$A:$A,A392,'Sales Log'!$C:$C)</f>
        <v>0</v>
      </c>
      <c r="E392" s="22">
        <f>COUNTIF('Sales Log'!$A:$A,A392)</f>
        <v>0</v>
      </c>
      <c r="F392" s="22">
        <f t="shared" si="6"/>
        <v>0</v>
      </c>
    </row>
    <row r="393" spans="1:6" x14ac:dyDescent="0.25">
      <c r="A393" s="8">
        <v>46634</v>
      </c>
      <c r="B393" s="22">
        <f>SUMIF('Sales Log'!$A:$A,A393,'Sales Log'!$F:$F)</f>
        <v>0</v>
      </c>
      <c r="C393" s="22">
        <f>SUMIF('Sales Log'!$A:$A,A393,'Sales Log'!$G:$G)</f>
        <v>0</v>
      </c>
      <c r="D393" s="22">
        <f>SUMIF('Sales Log'!$A:$A,A393,'Sales Log'!$C:$C)</f>
        <v>0</v>
      </c>
      <c r="E393" s="22">
        <f>COUNTIF('Sales Log'!$A:$A,A393)</f>
        <v>0</v>
      </c>
      <c r="F393" s="22">
        <f t="shared" si="6"/>
        <v>0</v>
      </c>
    </row>
    <row r="394" spans="1:6" x14ac:dyDescent="0.25">
      <c r="A394" s="8">
        <v>46635</v>
      </c>
      <c r="B394" s="22">
        <f>SUMIF('Sales Log'!$A:$A,A394,'Sales Log'!$F:$F)</f>
        <v>0</v>
      </c>
      <c r="C394" s="22">
        <f>SUMIF('Sales Log'!$A:$A,A394,'Sales Log'!$G:$G)</f>
        <v>0</v>
      </c>
      <c r="D394" s="22">
        <f>SUMIF('Sales Log'!$A:$A,A394,'Sales Log'!$C:$C)</f>
        <v>0</v>
      </c>
      <c r="E394" s="22">
        <f>COUNTIF('Sales Log'!$A:$A,A394)</f>
        <v>0</v>
      </c>
      <c r="F394" s="22">
        <f t="shared" si="6"/>
        <v>0</v>
      </c>
    </row>
    <row r="395" spans="1:6" x14ac:dyDescent="0.25">
      <c r="A395" s="8">
        <v>46636</v>
      </c>
      <c r="B395" s="22">
        <f>SUMIF('Sales Log'!$A:$A,A395,'Sales Log'!$F:$F)</f>
        <v>0</v>
      </c>
      <c r="C395" s="22">
        <f>SUMIF('Sales Log'!$A:$A,A395,'Sales Log'!$G:$G)</f>
        <v>0</v>
      </c>
      <c r="D395" s="22">
        <f>SUMIF('Sales Log'!$A:$A,A395,'Sales Log'!$C:$C)</f>
        <v>0</v>
      </c>
      <c r="E395" s="22">
        <f>COUNTIF('Sales Log'!$A:$A,A395)</f>
        <v>0</v>
      </c>
      <c r="F395" s="22">
        <f t="shared" si="6"/>
        <v>0</v>
      </c>
    </row>
    <row r="396" spans="1:6" x14ac:dyDescent="0.25">
      <c r="A396" s="8">
        <v>46637</v>
      </c>
      <c r="B396" s="22">
        <f>SUMIF('Sales Log'!$A:$A,A396,'Sales Log'!$F:$F)</f>
        <v>0</v>
      </c>
      <c r="C396" s="22">
        <f>SUMIF('Sales Log'!$A:$A,A396,'Sales Log'!$G:$G)</f>
        <v>0</v>
      </c>
      <c r="D396" s="22">
        <f>SUMIF('Sales Log'!$A:$A,A396,'Sales Log'!$C:$C)</f>
        <v>0</v>
      </c>
      <c r="E396" s="22">
        <f>COUNTIF('Sales Log'!$A:$A,A396)</f>
        <v>0</v>
      </c>
      <c r="F396" s="22">
        <f t="shared" si="6"/>
        <v>0</v>
      </c>
    </row>
    <row r="397" spans="1:6" x14ac:dyDescent="0.25">
      <c r="A397" s="8">
        <v>46638</v>
      </c>
      <c r="B397" s="22">
        <f>SUMIF('Sales Log'!$A:$A,A397,'Sales Log'!$F:$F)</f>
        <v>0</v>
      </c>
      <c r="C397" s="22">
        <f>SUMIF('Sales Log'!$A:$A,A397,'Sales Log'!$G:$G)</f>
        <v>0</v>
      </c>
      <c r="D397" s="22">
        <f>SUMIF('Sales Log'!$A:$A,A397,'Sales Log'!$C:$C)</f>
        <v>0</v>
      </c>
      <c r="E397" s="22">
        <f>COUNTIF('Sales Log'!$A:$A,A397)</f>
        <v>0</v>
      </c>
      <c r="F397" s="22">
        <f t="shared" si="6"/>
        <v>0</v>
      </c>
    </row>
    <row r="398" spans="1:6" x14ac:dyDescent="0.25">
      <c r="A398" s="8">
        <v>46639</v>
      </c>
      <c r="B398" s="22">
        <f>SUMIF('Sales Log'!$A:$A,A398,'Sales Log'!$F:$F)</f>
        <v>0</v>
      </c>
      <c r="C398" s="22">
        <f>SUMIF('Sales Log'!$A:$A,A398,'Sales Log'!$G:$G)</f>
        <v>0</v>
      </c>
      <c r="D398" s="22">
        <f>SUMIF('Sales Log'!$A:$A,A398,'Sales Log'!$C:$C)</f>
        <v>0</v>
      </c>
      <c r="E398" s="22">
        <f>COUNTIF('Sales Log'!$A:$A,A398)</f>
        <v>0</v>
      </c>
      <c r="F398" s="22">
        <f t="shared" si="6"/>
        <v>0</v>
      </c>
    </row>
    <row r="399" spans="1:6" x14ac:dyDescent="0.25">
      <c r="A399" s="8">
        <v>46640</v>
      </c>
      <c r="B399" s="22">
        <f>SUMIF('Sales Log'!$A:$A,A399,'Sales Log'!$F:$F)</f>
        <v>0</v>
      </c>
      <c r="C399" s="22">
        <f>SUMIF('Sales Log'!$A:$A,A399,'Sales Log'!$G:$G)</f>
        <v>0</v>
      </c>
      <c r="D399" s="22">
        <f>SUMIF('Sales Log'!$A:$A,A399,'Sales Log'!$C:$C)</f>
        <v>0</v>
      </c>
      <c r="E399" s="22">
        <f>COUNTIF('Sales Log'!$A:$A,A399)</f>
        <v>0</v>
      </c>
      <c r="F399" s="22">
        <f t="shared" si="6"/>
        <v>0</v>
      </c>
    </row>
    <row r="400" spans="1:6" x14ac:dyDescent="0.25">
      <c r="A400" s="8">
        <v>46641</v>
      </c>
      <c r="B400" s="22">
        <f>SUMIF('Sales Log'!$A:$A,A400,'Sales Log'!$F:$F)</f>
        <v>0</v>
      </c>
      <c r="C400" s="22">
        <f>SUMIF('Sales Log'!$A:$A,A400,'Sales Log'!$G:$G)</f>
        <v>0</v>
      </c>
      <c r="D400" s="22">
        <f>SUMIF('Sales Log'!$A:$A,A400,'Sales Log'!$C:$C)</f>
        <v>0</v>
      </c>
      <c r="E400" s="22">
        <f>COUNTIF('Sales Log'!$A:$A,A400)</f>
        <v>0</v>
      </c>
      <c r="F400" s="22">
        <f t="shared" si="6"/>
        <v>0</v>
      </c>
    </row>
    <row r="401" spans="1:6" x14ac:dyDescent="0.25">
      <c r="A401" s="8">
        <v>46642</v>
      </c>
      <c r="B401" s="22">
        <f>SUMIF('Sales Log'!$A:$A,A401,'Sales Log'!$F:$F)</f>
        <v>0</v>
      </c>
      <c r="C401" s="22">
        <f>SUMIF('Sales Log'!$A:$A,A401,'Sales Log'!$G:$G)</f>
        <v>0</v>
      </c>
      <c r="D401" s="22">
        <f>SUMIF('Sales Log'!$A:$A,A401,'Sales Log'!$C:$C)</f>
        <v>0</v>
      </c>
      <c r="E401" s="22">
        <f>COUNTIF('Sales Log'!$A:$A,A401)</f>
        <v>0</v>
      </c>
      <c r="F401" s="22">
        <f t="shared" si="6"/>
        <v>0</v>
      </c>
    </row>
    <row r="402" spans="1:6" x14ac:dyDescent="0.25">
      <c r="A402" s="8">
        <v>46643</v>
      </c>
      <c r="B402" s="22">
        <f>SUMIF('Sales Log'!$A:$A,A402,'Sales Log'!$F:$F)</f>
        <v>0</v>
      </c>
      <c r="C402" s="22">
        <f>SUMIF('Sales Log'!$A:$A,A402,'Sales Log'!$G:$G)</f>
        <v>0</v>
      </c>
      <c r="D402" s="22">
        <f>SUMIF('Sales Log'!$A:$A,A402,'Sales Log'!$C:$C)</f>
        <v>0</v>
      </c>
      <c r="E402" s="22">
        <f>COUNTIF('Sales Log'!$A:$A,A402)</f>
        <v>0</v>
      </c>
      <c r="F402" s="22">
        <f t="shared" si="6"/>
        <v>0</v>
      </c>
    </row>
    <row r="403" spans="1:6" x14ac:dyDescent="0.25">
      <c r="A403" s="8">
        <v>46644</v>
      </c>
      <c r="B403" s="22">
        <f>SUMIF('Sales Log'!$A:$A,A403,'Sales Log'!$F:$F)</f>
        <v>0</v>
      </c>
      <c r="C403" s="22">
        <f>SUMIF('Sales Log'!$A:$A,A403,'Sales Log'!$G:$G)</f>
        <v>0</v>
      </c>
      <c r="D403" s="22">
        <f>SUMIF('Sales Log'!$A:$A,A403,'Sales Log'!$C:$C)</f>
        <v>0</v>
      </c>
      <c r="E403" s="22">
        <f>COUNTIF('Sales Log'!$A:$A,A403)</f>
        <v>0</v>
      </c>
      <c r="F403" s="22">
        <f t="shared" si="6"/>
        <v>0</v>
      </c>
    </row>
    <row r="404" spans="1:6" x14ac:dyDescent="0.25">
      <c r="A404" s="8">
        <v>46645</v>
      </c>
      <c r="B404" s="22">
        <f>SUMIF('Sales Log'!$A:$A,A404,'Sales Log'!$F:$F)</f>
        <v>0</v>
      </c>
      <c r="C404" s="22">
        <f>SUMIF('Sales Log'!$A:$A,A404,'Sales Log'!$G:$G)</f>
        <v>0</v>
      </c>
      <c r="D404" s="22">
        <f>SUMIF('Sales Log'!$A:$A,A404,'Sales Log'!$C:$C)</f>
        <v>0</v>
      </c>
      <c r="E404" s="22">
        <f>COUNTIF('Sales Log'!$A:$A,A404)</f>
        <v>0</v>
      </c>
      <c r="F404" s="22">
        <f t="shared" si="6"/>
        <v>0</v>
      </c>
    </row>
    <row r="405" spans="1:6" x14ac:dyDescent="0.25">
      <c r="A405" s="8">
        <v>46646</v>
      </c>
      <c r="B405" s="22">
        <f>SUMIF('Sales Log'!$A:$A,A405,'Sales Log'!$F:$F)</f>
        <v>0</v>
      </c>
      <c r="C405" s="22">
        <f>SUMIF('Sales Log'!$A:$A,A405,'Sales Log'!$G:$G)</f>
        <v>0</v>
      </c>
      <c r="D405" s="22">
        <f>SUMIF('Sales Log'!$A:$A,A405,'Sales Log'!$C:$C)</f>
        <v>0</v>
      </c>
      <c r="E405" s="22">
        <f>COUNTIF('Sales Log'!$A:$A,A405)</f>
        <v>0</v>
      </c>
      <c r="F405" s="22">
        <f t="shared" si="6"/>
        <v>0</v>
      </c>
    </row>
    <row r="406" spans="1:6" x14ac:dyDescent="0.25">
      <c r="A406" s="8">
        <v>46647</v>
      </c>
      <c r="B406" s="22">
        <f>SUMIF('Sales Log'!$A:$A,A406,'Sales Log'!$F:$F)</f>
        <v>0</v>
      </c>
      <c r="C406" s="22">
        <f>SUMIF('Sales Log'!$A:$A,A406,'Sales Log'!$G:$G)</f>
        <v>0</v>
      </c>
      <c r="D406" s="22">
        <f>SUMIF('Sales Log'!$A:$A,A406,'Sales Log'!$C:$C)</f>
        <v>0</v>
      </c>
      <c r="E406" s="22">
        <f>COUNTIF('Sales Log'!$A:$A,A406)</f>
        <v>0</v>
      </c>
      <c r="F406" s="22">
        <f t="shared" si="6"/>
        <v>0</v>
      </c>
    </row>
    <row r="407" spans="1:6" x14ac:dyDescent="0.25">
      <c r="A407" s="8">
        <v>46648</v>
      </c>
      <c r="B407" s="22">
        <f>SUMIF('Sales Log'!$A:$A,A407,'Sales Log'!$F:$F)</f>
        <v>0</v>
      </c>
      <c r="C407" s="22">
        <f>SUMIF('Sales Log'!$A:$A,A407,'Sales Log'!$G:$G)</f>
        <v>0</v>
      </c>
      <c r="D407" s="22">
        <f>SUMIF('Sales Log'!$A:$A,A407,'Sales Log'!$C:$C)</f>
        <v>0</v>
      </c>
      <c r="E407" s="22">
        <f>COUNTIF('Sales Log'!$A:$A,A407)</f>
        <v>0</v>
      </c>
      <c r="F407" s="22">
        <f t="shared" si="6"/>
        <v>0</v>
      </c>
    </row>
    <row r="408" spans="1:6" x14ac:dyDescent="0.25">
      <c r="A408" s="8">
        <v>46649</v>
      </c>
      <c r="B408" s="22">
        <f>SUMIF('Sales Log'!$A:$A,A408,'Sales Log'!$F:$F)</f>
        <v>0</v>
      </c>
      <c r="C408" s="22">
        <f>SUMIF('Sales Log'!$A:$A,A408,'Sales Log'!$G:$G)</f>
        <v>0</v>
      </c>
      <c r="D408" s="22">
        <f>SUMIF('Sales Log'!$A:$A,A408,'Sales Log'!$C:$C)</f>
        <v>0</v>
      </c>
      <c r="E408" s="22">
        <f>COUNTIF('Sales Log'!$A:$A,A408)</f>
        <v>0</v>
      </c>
      <c r="F408" s="22">
        <f t="shared" si="6"/>
        <v>0</v>
      </c>
    </row>
    <row r="409" spans="1:6" x14ac:dyDescent="0.25">
      <c r="A409" s="8">
        <v>46650</v>
      </c>
      <c r="B409" s="22">
        <f>SUMIF('Sales Log'!$A:$A,A409,'Sales Log'!$F:$F)</f>
        <v>0</v>
      </c>
      <c r="C409" s="22">
        <f>SUMIF('Sales Log'!$A:$A,A409,'Sales Log'!$G:$G)</f>
        <v>0</v>
      </c>
      <c r="D409" s="22">
        <f>SUMIF('Sales Log'!$A:$A,A409,'Sales Log'!$C:$C)</f>
        <v>0</v>
      </c>
      <c r="E409" s="22">
        <f>COUNTIF('Sales Log'!$A:$A,A409)</f>
        <v>0</v>
      </c>
      <c r="F409" s="22">
        <f t="shared" si="6"/>
        <v>0</v>
      </c>
    </row>
    <row r="410" spans="1:6" x14ac:dyDescent="0.25">
      <c r="A410" s="8">
        <v>46651</v>
      </c>
      <c r="B410" s="22">
        <f>SUMIF('Sales Log'!$A:$A,A410,'Sales Log'!$F:$F)</f>
        <v>0</v>
      </c>
      <c r="C410" s="22">
        <f>SUMIF('Sales Log'!$A:$A,A410,'Sales Log'!$G:$G)</f>
        <v>0</v>
      </c>
      <c r="D410" s="22">
        <f>SUMIF('Sales Log'!$A:$A,A410,'Sales Log'!$C:$C)</f>
        <v>0</v>
      </c>
      <c r="E410" s="22">
        <f>COUNTIF('Sales Log'!$A:$A,A410)</f>
        <v>0</v>
      </c>
      <c r="F410" s="22">
        <f t="shared" si="6"/>
        <v>0</v>
      </c>
    </row>
    <row r="411" spans="1:6" x14ac:dyDescent="0.25">
      <c r="A411" s="8">
        <v>46652</v>
      </c>
      <c r="B411" s="22">
        <f>SUMIF('Sales Log'!$A:$A,A411,'Sales Log'!$F:$F)</f>
        <v>0</v>
      </c>
      <c r="C411" s="22">
        <f>SUMIF('Sales Log'!$A:$A,A411,'Sales Log'!$G:$G)</f>
        <v>0</v>
      </c>
      <c r="D411" s="22">
        <f>SUMIF('Sales Log'!$A:$A,A411,'Sales Log'!$C:$C)</f>
        <v>0</v>
      </c>
      <c r="E411" s="22">
        <f>COUNTIF('Sales Log'!$A:$A,A411)</f>
        <v>0</v>
      </c>
      <c r="F411" s="22">
        <f t="shared" si="6"/>
        <v>0</v>
      </c>
    </row>
    <row r="412" spans="1:6" x14ac:dyDescent="0.25">
      <c r="A412" s="8">
        <v>46653</v>
      </c>
      <c r="B412" s="22">
        <f>SUMIF('Sales Log'!$A:$A,A412,'Sales Log'!$F:$F)</f>
        <v>0</v>
      </c>
      <c r="C412" s="22">
        <f>SUMIF('Sales Log'!$A:$A,A412,'Sales Log'!$G:$G)</f>
        <v>0</v>
      </c>
      <c r="D412" s="22">
        <f>SUMIF('Sales Log'!$A:$A,A412,'Sales Log'!$C:$C)</f>
        <v>0</v>
      </c>
      <c r="E412" s="22">
        <f>COUNTIF('Sales Log'!$A:$A,A412)</f>
        <v>0</v>
      </c>
      <c r="F412" s="22">
        <f t="shared" si="6"/>
        <v>0</v>
      </c>
    </row>
    <row r="413" spans="1:6" x14ac:dyDescent="0.25">
      <c r="A413" s="8">
        <v>46654</v>
      </c>
      <c r="B413" s="22">
        <f>SUMIF('Sales Log'!$A:$A,A413,'Sales Log'!$F:$F)</f>
        <v>0</v>
      </c>
      <c r="C413" s="22">
        <f>SUMIF('Sales Log'!$A:$A,A413,'Sales Log'!$G:$G)</f>
        <v>0</v>
      </c>
      <c r="D413" s="22">
        <f>SUMIF('Sales Log'!$A:$A,A413,'Sales Log'!$C:$C)</f>
        <v>0</v>
      </c>
      <c r="E413" s="22">
        <f>COUNTIF('Sales Log'!$A:$A,A413)</f>
        <v>0</v>
      </c>
      <c r="F413" s="22">
        <f t="shared" si="6"/>
        <v>0</v>
      </c>
    </row>
    <row r="414" spans="1:6" x14ac:dyDescent="0.25">
      <c r="A414" s="8">
        <v>46655</v>
      </c>
      <c r="B414" s="22">
        <f>SUMIF('Sales Log'!$A:$A,A414,'Sales Log'!$F:$F)</f>
        <v>0</v>
      </c>
      <c r="C414" s="22">
        <f>SUMIF('Sales Log'!$A:$A,A414,'Sales Log'!$G:$G)</f>
        <v>0</v>
      </c>
      <c r="D414" s="22">
        <f>SUMIF('Sales Log'!$A:$A,A414,'Sales Log'!$C:$C)</f>
        <v>0</v>
      </c>
      <c r="E414" s="22">
        <f>COUNTIF('Sales Log'!$A:$A,A414)</f>
        <v>0</v>
      </c>
      <c r="F414" s="22">
        <f t="shared" si="6"/>
        <v>0</v>
      </c>
    </row>
    <row r="415" spans="1:6" x14ac:dyDescent="0.25">
      <c r="A415" s="8">
        <v>46656</v>
      </c>
      <c r="B415" s="22">
        <f>SUMIF('Sales Log'!$A:$A,A415,'Sales Log'!$F:$F)</f>
        <v>0</v>
      </c>
      <c r="C415" s="22">
        <f>SUMIF('Sales Log'!$A:$A,A415,'Sales Log'!$G:$G)</f>
        <v>0</v>
      </c>
      <c r="D415" s="22">
        <f>SUMIF('Sales Log'!$A:$A,A415,'Sales Log'!$C:$C)</f>
        <v>0</v>
      </c>
      <c r="E415" s="22">
        <f>COUNTIF('Sales Log'!$A:$A,A415)</f>
        <v>0</v>
      </c>
      <c r="F415" s="22">
        <f t="shared" si="6"/>
        <v>0</v>
      </c>
    </row>
    <row r="416" spans="1:6" x14ac:dyDescent="0.25">
      <c r="A416" s="8">
        <v>46657</v>
      </c>
      <c r="B416" s="22">
        <f>SUMIF('Sales Log'!$A:$A,A416,'Sales Log'!$F:$F)</f>
        <v>0</v>
      </c>
      <c r="C416" s="22">
        <f>SUMIF('Sales Log'!$A:$A,A416,'Sales Log'!$G:$G)</f>
        <v>0</v>
      </c>
      <c r="D416" s="22">
        <f>SUMIF('Sales Log'!$A:$A,A416,'Sales Log'!$C:$C)</f>
        <v>0</v>
      </c>
      <c r="E416" s="22">
        <f>COUNTIF('Sales Log'!$A:$A,A416)</f>
        <v>0</v>
      </c>
      <c r="F416" s="22">
        <f t="shared" si="6"/>
        <v>0</v>
      </c>
    </row>
    <row r="417" spans="1:6" x14ac:dyDescent="0.25">
      <c r="A417" s="8">
        <v>46658</v>
      </c>
      <c r="B417" s="22">
        <f>SUMIF('Sales Log'!$A:$A,A417,'Sales Log'!$F:$F)</f>
        <v>0</v>
      </c>
      <c r="C417" s="22">
        <f>SUMIF('Sales Log'!$A:$A,A417,'Sales Log'!$G:$G)</f>
        <v>0</v>
      </c>
      <c r="D417" s="22">
        <f>SUMIF('Sales Log'!$A:$A,A417,'Sales Log'!$C:$C)</f>
        <v>0</v>
      </c>
      <c r="E417" s="22">
        <f>COUNTIF('Sales Log'!$A:$A,A417)</f>
        <v>0</v>
      </c>
      <c r="F417" s="22">
        <f t="shared" si="6"/>
        <v>0</v>
      </c>
    </row>
    <row r="418" spans="1:6" x14ac:dyDescent="0.25">
      <c r="A418" s="8">
        <v>46659</v>
      </c>
      <c r="B418" s="22">
        <f>SUMIF('Sales Log'!$A:$A,A418,'Sales Log'!$F:$F)</f>
        <v>0</v>
      </c>
      <c r="C418" s="22">
        <f>SUMIF('Sales Log'!$A:$A,A418,'Sales Log'!$G:$G)</f>
        <v>0</v>
      </c>
      <c r="D418" s="22">
        <f>SUMIF('Sales Log'!$A:$A,A418,'Sales Log'!$C:$C)</f>
        <v>0</v>
      </c>
      <c r="E418" s="22">
        <f>COUNTIF('Sales Log'!$A:$A,A418)</f>
        <v>0</v>
      </c>
      <c r="F418" s="22">
        <f t="shared" si="6"/>
        <v>0</v>
      </c>
    </row>
    <row r="419" spans="1:6" x14ac:dyDescent="0.25">
      <c r="A419" s="8">
        <v>46660</v>
      </c>
      <c r="B419" s="22">
        <f>SUMIF('Sales Log'!$A:$A,A419,'Sales Log'!$F:$F)</f>
        <v>0</v>
      </c>
      <c r="C419" s="22">
        <f>SUMIF('Sales Log'!$A:$A,A419,'Sales Log'!$G:$G)</f>
        <v>0</v>
      </c>
      <c r="D419" s="22">
        <f>SUMIF('Sales Log'!$A:$A,A419,'Sales Log'!$C:$C)</f>
        <v>0</v>
      </c>
      <c r="E419" s="22">
        <f>COUNTIF('Sales Log'!$A:$A,A419)</f>
        <v>0</v>
      </c>
      <c r="F419" s="22">
        <f t="shared" si="6"/>
        <v>0</v>
      </c>
    </row>
    <row r="420" spans="1:6" x14ac:dyDescent="0.25">
      <c r="A420" s="8">
        <v>46661</v>
      </c>
      <c r="B420" s="22">
        <f>SUMIF('Sales Log'!$A:$A,A420,'Sales Log'!$F:$F)</f>
        <v>0</v>
      </c>
      <c r="C420" s="22">
        <f>SUMIF('Sales Log'!$A:$A,A420,'Sales Log'!$G:$G)</f>
        <v>0</v>
      </c>
      <c r="D420" s="22">
        <f>SUMIF('Sales Log'!$A:$A,A420,'Sales Log'!$C:$C)</f>
        <v>0</v>
      </c>
      <c r="E420" s="22">
        <f>COUNTIF('Sales Log'!$A:$A,A420)</f>
        <v>0</v>
      </c>
      <c r="F420" s="22">
        <f t="shared" si="6"/>
        <v>0</v>
      </c>
    </row>
    <row r="421" spans="1:6" x14ac:dyDescent="0.25">
      <c r="A421" s="8">
        <v>46662</v>
      </c>
      <c r="B421" s="22">
        <f>SUMIF('Sales Log'!$A:$A,A421,'Sales Log'!$F:$F)</f>
        <v>0</v>
      </c>
      <c r="C421" s="22">
        <f>SUMIF('Sales Log'!$A:$A,A421,'Sales Log'!$G:$G)</f>
        <v>0</v>
      </c>
      <c r="D421" s="22">
        <f>SUMIF('Sales Log'!$A:$A,A421,'Sales Log'!$C:$C)</f>
        <v>0</v>
      </c>
      <c r="E421" s="22">
        <f>COUNTIF('Sales Log'!$A:$A,A421)</f>
        <v>0</v>
      </c>
      <c r="F421" s="22">
        <f t="shared" si="6"/>
        <v>0</v>
      </c>
    </row>
    <row r="422" spans="1:6" x14ac:dyDescent="0.25">
      <c r="A422" s="8">
        <v>46663</v>
      </c>
      <c r="B422" s="22">
        <f>SUMIF('Sales Log'!$A:$A,A422,'Sales Log'!$F:$F)</f>
        <v>0</v>
      </c>
      <c r="C422" s="22">
        <f>SUMIF('Sales Log'!$A:$A,A422,'Sales Log'!$G:$G)</f>
        <v>0</v>
      </c>
      <c r="D422" s="22">
        <f>SUMIF('Sales Log'!$A:$A,A422,'Sales Log'!$C:$C)</f>
        <v>0</v>
      </c>
      <c r="E422" s="22">
        <f>COUNTIF('Sales Log'!$A:$A,A422)</f>
        <v>0</v>
      </c>
      <c r="F422" s="22">
        <f t="shared" si="6"/>
        <v>0</v>
      </c>
    </row>
    <row r="423" spans="1:6" x14ac:dyDescent="0.25">
      <c r="A423" s="8">
        <v>46664</v>
      </c>
      <c r="B423" s="22">
        <f>SUMIF('Sales Log'!$A:$A,A423,'Sales Log'!$F:$F)</f>
        <v>0</v>
      </c>
      <c r="C423" s="22">
        <f>SUMIF('Sales Log'!$A:$A,A423,'Sales Log'!$G:$G)</f>
        <v>0</v>
      </c>
      <c r="D423" s="22">
        <f>SUMIF('Sales Log'!$A:$A,A423,'Sales Log'!$C:$C)</f>
        <v>0</v>
      </c>
      <c r="E423" s="22">
        <f>COUNTIF('Sales Log'!$A:$A,A423)</f>
        <v>0</v>
      </c>
      <c r="F423" s="22">
        <f t="shared" si="6"/>
        <v>0</v>
      </c>
    </row>
    <row r="424" spans="1:6" x14ac:dyDescent="0.25">
      <c r="A424" s="8">
        <v>46665</v>
      </c>
      <c r="B424" s="22">
        <f>SUMIF('Sales Log'!$A:$A,A424,'Sales Log'!$F:$F)</f>
        <v>0</v>
      </c>
      <c r="C424" s="22">
        <f>SUMIF('Sales Log'!$A:$A,A424,'Sales Log'!$G:$G)</f>
        <v>0</v>
      </c>
      <c r="D424" s="22">
        <f>SUMIF('Sales Log'!$A:$A,A424,'Sales Log'!$C:$C)</f>
        <v>0</v>
      </c>
      <c r="E424" s="22">
        <f>COUNTIF('Sales Log'!$A:$A,A424)</f>
        <v>0</v>
      </c>
      <c r="F424" s="22">
        <f t="shared" si="6"/>
        <v>0</v>
      </c>
    </row>
    <row r="425" spans="1:6" x14ac:dyDescent="0.25">
      <c r="A425" s="8">
        <v>46666</v>
      </c>
      <c r="B425" s="22">
        <f>SUMIF('Sales Log'!$A:$A,A425,'Sales Log'!$F:$F)</f>
        <v>0</v>
      </c>
      <c r="C425" s="22">
        <f>SUMIF('Sales Log'!$A:$A,A425,'Sales Log'!$G:$G)</f>
        <v>0</v>
      </c>
      <c r="D425" s="22">
        <f>SUMIF('Sales Log'!$A:$A,A425,'Sales Log'!$C:$C)</f>
        <v>0</v>
      </c>
      <c r="E425" s="22">
        <f>COUNTIF('Sales Log'!$A:$A,A425)</f>
        <v>0</v>
      </c>
      <c r="F425" s="22">
        <f t="shared" si="6"/>
        <v>0</v>
      </c>
    </row>
    <row r="426" spans="1:6" x14ac:dyDescent="0.25">
      <c r="A426" s="8">
        <v>46667</v>
      </c>
      <c r="B426" s="22">
        <f>SUMIF('Sales Log'!$A:$A,A426,'Sales Log'!$F:$F)</f>
        <v>0</v>
      </c>
      <c r="C426" s="22">
        <f>SUMIF('Sales Log'!$A:$A,A426,'Sales Log'!$G:$G)</f>
        <v>0</v>
      </c>
      <c r="D426" s="22">
        <f>SUMIF('Sales Log'!$A:$A,A426,'Sales Log'!$C:$C)</f>
        <v>0</v>
      </c>
      <c r="E426" s="22">
        <f>COUNTIF('Sales Log'!$A:$A,A426)</f>
        <v>0</v>
      </c>
      <c r="F426" s="22">
        <f t="shared" si="6"/>
        <v>0</v>
      </c>
    </row>
    <row r="427" spans="1:6" x14ac:dyDescent="0.25">
      <c r="A427" s="8">
        <v>46668</v>
      </c>
      <c r="B427" s="22">
        <f>SUMIF('Sales Log'!$A:$A,A427,'Sales Log'!$F:$F)</f>
        <v>0</v>
      </c>
      <c r="C427" s="22">
        <f>SUMIF('Sales Log'!$A:$A,A427,'Sales Log'!$G:$G)</f>
        <v>0</v>
      </c>
      <c r="D427" s="22">
        <f>SUMIF('Sales Log'!$A:$A,A427,'Sales Log'!$C:$C)</f>
        <v>0</v>
      </c>
      <c r="E427" s="22">
        <f>COUNTIF('Sales Log'!$A:$A,A427)</f>
        <v>0</v>
      </c>
      <c r="F427" s="22">
        <f t="shared" si="6"/>
        <v>0</v>
      </c>
    </row>
    <row r="428" spans="1:6" x14ac:dyDescent="0.25">
      <c r="A428" s="8">
        <v>46669</v>
      </c>
      <c r="B428" s="22">
        <f>SUMIF('Sales Log'!$A:$A,A428,'Sales Log'!$F:$F)</f>
        <v>0</v>
      </c>
      <c r="C428" s="22">
        <f>SUMIF('Sales Log'!$A:$A,A428,'Sales Log'!$G:$G)</f>
        <v>0</v>
      </c>
      <c r="D428" s="22">
        <f>SUMIF('Sales Log'!$A:$A,A428,'Sales Log'!$C:$C)</f>
        <v>0</v>
      </c>
      <c r="E428" s="22">
        <f>COUNTIF('Sales Log'!$A:$A,A428)</f>
        <v>0</v>
      </c>
      <c r="F428" s="22">
        <f t="shared" si="6"/>
        <v>0</v>
      </c>
    </row>
    <row r="429" spans="1:6" x14ac:dyDescent="0.25">
      <c r="A429" s="8">
        <v>46670</v>
      </c>
      <c r="B429" s="22">
        <f>SUMIF('Sales Log'!$A:$A,A429,'Sales Log'!$F:$F)</f>
        <v>0</v>
      </c>
      <c r="C429" s="22">
        <f>SUMIF('Sales Log'!$A:$A,A429,'Sales Log'!$G:$G)</f>
        <v>0</v>
      </c>
      <c r="D429" s="22">
        <f>SUMIF('Sales Log'!$A:$A,A429,'Sales Log'!$C:$C)</f>
        <v>0</v>
      </c>
      <c r="E429" s="22">
        <f>COUNTIF('Sales Log'!$A:$A,A429)</f>
        <v>0</v>
      </c>
      <c r="F429" s="22">
        <f t="shared" si="6"/>
        <v>0</v>
      </c>
    </row>
    <row r="430" spans="1:6" x14ac:dyDescent="0.25">
      <c r="A430" s="8">
        <v>46671</v>
      </c>
      <c r="B430" s="22">
        <f>SUMIF('Sales Log'!$A:$A,A430,'Sales Log'!$F:$F)</f>
        <v>0</v>
      </c>
      <c r="C430" s="22">
        <f>SUMIF('Sales Log'!$A:$A,A430,'Sales Log'!$G:$G)</f>
        <v>0</v>
      </c>
      <c r="D430" s="22">
        <f>SUMIF('Sales Log'!$A:$A,A430,'Sales Log'!$C:$C)</f>
        <v>0</v>
      </c>
      <c r="E430" s="22">
        <f>COUNTIF('Sales Log'!$A:$A,A430)</f>
        <v>0</v>
      </c>
      <c r="F430" s="22">
        <f t="shared" si="6"/>
        <v>0</v>
      </c>
    </row>
    <row r="431" spans="1:6" x14ac:dyDescent="0.25">
      <c r="A431" s="8">
        <v>46672</v>
      </c>
      <c r="B431" s="22">
        <f>SUMIF('Sales Log'!$A:$A,A431,'Sales Log'!$F:$F)</f>
        <v>0</v>
      </c>
      <c r="C431" s="22">
        <f>SUMIF('Sales Log'!$A:$A,A431,'Sales Log'!$G:$G)</f>
        <v>0</v>
      </c>
      <c r="D431" s="22">
        <f>SUMIF('Sales Log'!$A:$A,A431,'Sales Log'!$C:$C)</f>
        <v>0</v>
      </c>
      <c r="E431" s="22">
        <f>COUNTIF('Sales Log'!$A:$A,A431)</f>
        <v>0</v>
      </c>
      <c r="F431" s="22">
        <f t="shared" si="6"/>
        <v>0</v>
      </c>
    </row>
    <row r="432" spans="1:6" x14ac:dyDescent="0.25">
      <c r="A432" s="8">
        <v>46673</v>
      </c>
      <c r="B432" s="22">
        <f>SUMIF('Sales Log'!$A:$A,A432,'Sales Log'!$F:$F)</f>
        <v>0</v>
      </c>
      <c r="C432" s="22">
        <f>SUMIF('Sales Log'!$A:$A,A432,'Sales Log'!$G:$G)</f>
        <v>0</v>
      </c>
      <c r="D432" s="22">
        <f>SUMIF('Sales Log'!$A:$A,A432,'Sales Log'!$C:$C)</f>
        <v>0</v>
      </c>
      <c r="E432" s="22">
        <f>COUNTIF('Sales Log'!$A:$A,A432)</f>
        <v>0</v>
      </c>
      <c r="F432" s="22">
        <f t="shared" si="6"/>
        <v>0</v>
      </c>
    </row>
    <row r="433" spans="1:6" x14ac:dyDescent="0.25">
      <c r="A433" s="8">
        <v>46674</v>
      </c>
      <c r="B433" s="22">
        <f>SUMIF('Sales Log'!$A:$A,A433,'Sales Log'!$F:$F)</f>
        <v>0</v>
      </c>
      <c r="C433" s="22">
        <f>SUMIF('Sales Log'!$A:$A,A433,'Sales Log'!$G:$G)</f>
        <v>0</v>
      </c>
      <c r="D433" s="22">
        <f>SUMIF('Sales Log'!$A:$A,A433,'Sales Log'!$C:$C)</f>
        <v>0</v>
      </c>
      <c r="E433" s="22">
        <f>COUNTIF('Sales Log'!$A:$A,A433)</f>
        <v>0</v>
      </c>
      <c r="F433" s="22">
        <f t="shared" si="6"/>
        <v>0</v>
      </c>
    </row>
    <row r="434" spans="1:6" x14ac:dyDescent="0.25">
      <c r="A434" s="8">
        <v>46675</v>
      </c>
      <c r="B434" s="22">
        <f>SUMIF('Sales Log'!$A:$A,A434,'Sales Log'!$F:$F)</f>
        <v>0</v>
      </c>
      <c r="C434" s="22">
        <f>SUMIF('Sales Log'!$A:$A,A434,'Sales Log'!$G:$G)</f>
        <v>0</v>
      </c>
      <c r="D434" s="22">
        <f>SUMIF('Sales Log'!$A:$A,A434,'Sales Log'!$C:$C)</f>
        <v>0</v>
      </c>
      <c r="E434" s="22">
        <f>COUNTIF('Sales Log'!$A:$A,A434)</f>
        <v>0</v>
      </c>
      <c r="F434" s="22">
        <f t="shared" si="6"/>
        <v>0</v>
      </c>
    </row>
    <row r="435" spans="1:6" x14ac:dyDescent="0.25">
      <c r="A435" s="8">
        <v>46676</v>
      </c>
      <c r="B435" s="22">
        <f>SUMIF('Sales Log'!$A:$A,A435,'Sales Log'!$F:$F)</f>
        <v>0</v>
      </c>
      <c r="C435" s="22">
        <f>SUMIF('Sales Log'!$A:$A,A435,'Sales Log'!$G:$G)</f>
        <v>0</v>
      </c>
      <c r="D435" s="22">
        <f>SUMIF('Sales Log'!$A:$A,A435,'Sales Log'!$C:$C)</f>
        <v>0</v>
      </c>
      <c r="E435" s="22">
        <f>COUNTIF('Sales Log'!$A:$A,A435)</f>
        <v>0</v>
      </c>
      <c r="F435" s="22">
        <f t="shared" si="6"/>
        <v>0</v>
      </c>
    </row>
    <row r="436" spans="1:6" x14ac:dyDescent="0.25">
      <c r="A436" s="8">
        <v>46677</v>
      </c>
      <c r="B436" s="22">
        <f>SUMIF('Sales Log'!$A:$A,A436,'Sales Log'!$F:$F)</f>
        <v>0</v>
      </c>
      <c r="C436" s="22">
        <f>SUMIF('Sales Log'!$A:$A,A436,'Sales Log'!$G:$G)</f>
        <v>0</v>
      </c>
      <c r="D436" s="22">
        <f>SUMIF('Sales Log'!$A:$A,A436,'Sales Log'!$C:$C)</f>
        <v>0</v>
      </c>
      <c r="E436" s="22">
        <f>COUNTIF('Sales Log'!$A:$A,A436)</f>
        <v>0</v>
      </c>
      <c r="F436" s="22">
        <f t="shared" si="6"/>
        <v>0</v>
      </c>
    </row>
    <row r="437" spans="1:6" x14ac:dyDescent="0.25">
      <c r="A437" s="8">
        <v>46678</v>
      </c>
      <c r="B437" s="22">
        <f>SUMIF('Sales Log'!$A:$A,A437,'Sales Log'!$F:$F)</f>
        <v>0</v>
      </c>
      <c r="C437" s="22">
        <f>SUMIF('Sales Log'!$A:$A,A437,'Sales Log'!$G:$G)</f>
        <v>0</v>
      </c>
      <c r="D437" s="22">
        <f>SUMIF('Sales Log'!$A:$A,A437,'Sales Log'!$C:$C)</f>
        <v>0</v>
      </c>
      <c r="E437" s="22">
        <f>COUNTIF('Sales Log'!$A:$A,A437)</f>
        <v>0</v>
      </c>
      <c r="F437" s="22">
        <f t="shared" si="6"/>
        <v>0</v>
      </c>
    </row>
    <row r="438" spans="1:6" x14ac:dyDescent="0.25">
      <c r="A438" s="8">
        <v>46679</v>
      </c>
      <c r="B438" s="22">
        <f>SUMIF('Sales Log'!$A:$A,A438,'Sales Log'!$F:$F)</f>
        <v>0</v>
      </c>
      <c r="C438" s="22">
        <f>SUMIF('Sales Log'!$A:$A,A438,'Sales Log'!$G:$G)</f>
        <v>0</v>
      </c>
      <c r="D438" s="22">
        <f>SUMIF('Sales Log'!$A:$A,A438,'Sales Log'!$C:$C)</f>
        <v>0</v>
      </c>
      <c r="E438" s="22">
        <f>COUNTIF('Sales Log'!$A:$A,A438)</f>
        <v>0</v>
      </c>
      <c r="F438" s="22">
        <f t="shared" si="6"/>
        <v>0</v>
      </c>
    </row>
    <row r="439" spans="1:6" x14ac:dyDescent="0.25">
      <c r="A439" s="8">
        <v>46680</v>
      </c>
      <c r="B439" s="22">
        <f>SUMIF('Sales Log'!$A:$A,A439,'Sales Log'!$F:$F)</f>
        <v>0</v>
      </c>
      <c r="C439" s="22">
        <f>SUMIF('Sales Log'!$A:$A,A439,'Sales Log'!$G:$G)</f>
        <v>0</v>
      </c>
      <c r="D439" s="22">
        <f>SUMIF('Sales Log'!$A:$A,A439,'Sales Log'!$C:$C)</f>
        <v>0</v>
      </c>
      <c r="E439" s="22">
        <f>COUNTIF('Sales Log'!$A:$A,A439)</f>
        <v>0</v>
      </c>
      <c r="F439" s="22">
        <f t="shared" si="6"/>
        <v>0</v>
      </c>
    </row>
    <row r="440" spans="1:6" x14ac:dyDescent="0.25">
      <c r="A440" s="8">
        <v>46681</v>
      </c>
      <c r="B440" s="22">
        <f>SUMIF('Sales Log'!$A:$A,A440,'Sales Log'!$F:$F)</f>
        <v>0</v>
      </c>
      <c r="C440" s="22">
        <f>SUMIF('Sales Log'!$A:$A,A440,'Sales Log'!$G:$G)</f>
        <v>0</v>
      </c>
      <c r="D440" s="22">
        <f>SUMIF('Sales Log'!$A:$A,A440,'Sales Log'!$C:$C)</f>
        <v>0</v>
      </c>
      <c r="E440" s="22">
        <f>COUNTIF('Sales Log'!$A:$A,A440)</f>
        <v>0</v>
      </c>
      <c r="F440" s="22">
        <f t="shared" si="6"/>
        <v>0</v>
      </c>
    </row>
    <row r="441" spans="1:6" x14ac:dyDescent="0.25">
      <c r="A441" s="8">
        <v>46682</v>
      </c>
      <c r="B441" s="22">
        <f>SUMIF('Sales Log'!$A:$A,A441,'Sales Log'!$F:$F)</f>
        <v>0</v>
      </c>
      <c r="C441" s="22">
        <f>SUMIF('Sales Log'!$A:$A,A441,'Sales Log'!$G:$G)</f>
        <v>0</v>
      </c>
      <c r="D441" s="22">
        <f>SUMIF('Sales Log'!$A:$A,A441,'Sales Log'!$C:$C)</f>
        <v>0</v>
      </c>
      <c r="E441" s="22">
        <f>COUNTIF('Sales Log'!$A:$A,A441)</f>
        <v>0</v>
      </c>
      <c r="F441" s="22">
        <f t="shared" si="6"/>
        <v>0</v>
      </c>
    </row>
    <row r="442" spans="1:6" x14ac:dyDescent="0.25">
      <c r="A442" s="8">
        <v>46683</v>
      </c>
      <c r="B442" s="22">
        <f>SUMIF('Sales Log'!$A:$A,A442,'Sales Log'!$F:$F)</f>
        <v>0</v>
      </c>
      <c r="C442" s="22">
        <f>SUMIF('Sales Log'!$A:$A,A442,'Sales Log'!$G:$G)</f>
        <v>0</v>
      </c>
      <c r="D442" s="22">
        <f>SUMIF('Sales Log'!$A:$A,A442,'Sales Log'!$C:$C)</f>
        <v>0</v>
      </c>
      <c r="E442" s="22">
        <f>COUNTIF('Sales Log'!$A:$A,A442)</f>
        <v>0</v>
      </c>
      <c r="F442" s="22">
        <f t="shared" si="6"/>
        <v>0</v>
      </c>
    </row>
    <row r="443" spans="1:6" x14ac:dyDescent="0.25">
      <c r="A443" s="8">
        <v>46684</v>
      </c>
      <c r="B443" s="22">
        <f>SUMIF('Sales Log'!$A:$A,A443,'Sales Log'!$F:$F)</f>
        <v>0</v>
      </c>
      <c r="C443" s="22">
        <f>SUMIF('Sales Log'!$A:$A,A443,'Sales Log'!$G:$G)</f>
        <v>0</v>
      </c>
      <c r="D443" s="22">
        <f>SUMIF('Sales Log'!$A:$A,A443,'Sales Log'!$C:$C)</f>
        <v>0</v>
      </c>
      <c r="E443" s="22">
        <f>COUNTIF('Sales Log'!$A:$A,A443)</f>
        <v>0</v>
      </c>
      <c r="F443" s="22">
        <f t="shared" si="6"/>
        <v>0</v>
      </c>
    </row>
    <row r="444" spans="1:6" x14ac:dyDescent="0.25">
      <c r="A444" s="8">
        <v>46685</v>
      </c>
      <c r="B444" s="22">
        <f>SUMIF('Sales Log'!$A:$A,A444,'Sales Log'!$F:$F)</f>
        <v>0</v>
      </c>
      <c r="C444" s="22">
        <f>SUMIF('Sales Log'!$A:$A,A444,'Sales Log'!$G:$G)</f>
        <v>0</v>
      </c>
      <c r="D444" s="22">
        <f>SUMIF('Sales Log'!$A:$A,A444,'Sales Log'!$C:$C)</f>
        <v>0</v>
      </c>
      <c r="E444" s="22">
        <f>COUNTIF('Sales Log'!$A:$A,A444)</f>
        <v>0</v>
      </c>
      <c r="F444" s="22">
        <f t="shared" si="6"/>
        <v>0</v>
      </c>
    </row>
    <row r="445" spans="1:6" x14ac:dyDescent="0.25">
      <c r="A445" s="8">
        <v>46686</v>
      </c>
      <c r="B445" s="22">
        <f>SUMIF('Sales Log'!$A:$A,A445,'Sales Log'!$F:$F)</f>
        <v>0</v>
      </c>
      <c r="C445" s="22">
        <f>SUMIF('Sales Log'!$A:$A,A445,'Sales Log'!$G:$G)</f>
        <v>0</v>
      </c>
      <c r="D445" s="22">
        <f>SUMIF('Sales Log'!$A:$A,A445,'Sales Log'!$C:$C)</f>
        <v>0</v>
      </c>
      <c r="E445" s="22">
        <f>COUNTIF('Sales Log'!$A:$A,A445)</f>
        <v>0</v>
      </c>
      <c r="F445" s="22">
        <f t="shared" si="6"/>
        <v>0</v>
      </c>
    </row>
    <row r="446" spans="1:6" x14ac:dyDescent="0.25">
      <c r="A446" s="8">
        <v>46687</v>
      </c>
      <c r="B446" s="22">
        <f>SUMIF('Sales Log'!$A:$A,A446,'Sales Log'!$F:$F)</f>
        <v>0</v>
      </c>
      <c r="C446" s="22">
        <f>SUMIF('Sales Log'!$A:$A,A446,'Sales Log'!$G:$G)</f>
        <v>0</v>
      </c>
      <c r="D446" s="22">
        <f>SUMIF('Sales Log'!$A:$A,A446,'Sales Log'!$C:$C)</f>
        <v>0</v>
      </c>
      <c r="E446" s="22">
        <f>COUNTIF('Sales Log'!$A:$A,A446)</f>
        <v>0</v>
      </c>
      <c r="F446" s="22">
        <f t="shared" si="6"/>
        <v>0</v>
      </c>
    </row>
    <row r="447" spans="1:6" x14ac:dyDescent="0.25">
      <c r="A447" s="8">
        <v>46688</v>
      </c>
      <c r="B447" s="22">
        <f>SUMIF('Sales Log'!$A:$A,A447,'Sales Log'!$F:$F)</f>
        <v>0</v>
      </c>
      <c r="C447" s="22">
        <f>SUMIF('Sales Log'!$A:$A,A447,'Sales Log'!$G:$G)</f>
        <v>0</v>
      </c>
      <c r="D447" s="22">
        <f>SUMIF('Sales Log'!$A:$A,A447,'Sales Log'!$C:$C)</f>
        <v>0</v>
      </c>
      <c r="E447" s="22">
        <f>COUNTIF('Sales Log'!$A:$A,A447)</f>
        <v>0</v>
      </c>
      <c r="F447" s="22">
        <f t="shared" si="6"/>
        <v>0</v>
      </c>
    </row>
    <row r="448" spans="1:6" x14ac:dyDescent="0.25">
      <c r="A448" s="8">
        <v>46689</v>
      </c>
      <c r="B448" s="22">
        <f>SUMIF('Sales Log'!$A:$A,A448,'Sales Log'!$F:$F)</f>
        <v>0</v>
      </c>
      <c r="C448" s="22">
        <f>SUMIF('Sales Log'!$A:$A,A448,'Sales Log'!$G:$G)</f>
        <v>0</v>
      </c>
      <c r="D448" s="22">
        <f>SUMIF('Sales Log'!$A:$A,A448,'Sales Log'!$C:$C)</f>
        <v>0</v>
      </c>
      <c r="E448" s="22">
        <f>COUNTIF('Sales Log'!$A:$A,A448)</f>
        <v>0</v>
      </c>
      <c r="F448" s="22">
        <f t="shared" si="6"/>
        <v>0</v>
      </c>
    </row>
    <row r="449" spans="1:6" x14ac:dyDescent="0.25">
      <c r="A449" s="8">
        <v>46690</v>
      </c>
      <c r="B449" s="22">
        <f>SUMIF('Sales Log'!$A:$A,A449,'Sales Log'!$F:$F)</f>
        <v>0</v>
      </c>
      <c r="C449" s="22">
        <f>SUMIF('Sales Log'!$A:$A,A449,'Sales Log'!$G:$G)</f>
        <v>0</v>
      </c>
      <c r="D449" s="22">
        <f>SUMIF('Sales Log'!$A:$A,A449,'Sales Log'!$C:$C)</f>
        <v>0</v>
      </c>
      <c r="E449" s="22">
        <f>COUNTIF('Sales Log'!$A:$A,A449)</f>
        <v>0</v>
      </c>
      <c r="F449" s="22">
        <f t="shared" si="6"/>
        <v>0</v>
      </c>
    </row>
    <row r="450" spans="1:6" x14ac:dyDescent="0.25">
      <c r="A450" s="8">
        <v>46691</v>
      </c>
      <c r="B450" s="22">
        <f>SUMIF('Sales Log'!$A:$A,A450,'Sales Log'!$F:$F)</f>
        <v>0</v>
      </c>
      <c r="C450" s="22">
        <f>SUMIF('Sales Log'!$A:$A,A450,'Sales Log'!$G:$G)</f>
        <v>0</v>
      </c>
      <c r="D450" s="22">
        <f>SUMIF('Sales Log'!$A:$A,A450,'Sales Log'!$C:$C)</f>
        <v>0</v>
      </c>
      <c r="E450" s="22">
        <f>COUNTIF('Sales Log'!$A:$A,A450)</f>
        <v>0</v>
      </c>
      <c r="F450" s="22">
        <f t="shared" si="6"/>
        <v>0</v>
      </c>
    </row>
    <row r="451" spans="1:6" x14ac:dyDescent="0.25">
      <c r="A451" s="8">
        <v>46692</v>
      </c>
      <c r="B451" s="22">
        <f>SUMIF('Sales Log'!$A:$A,A451,'Sales Log'!$F:$F)</f>
        <v>0</v>
      </c>
      <c r="C451" s="22">
        <f>SUMIF('Sales Log'!$A:$A,A451,'Sales Log'!$G:$G)</f>
        <v>0</v>
      </c>
      <c r="D451" s="22">
        <f>SUMIF('Sales Log'!$A:$A,A451,'Sales Log'!$C:$C)</f>
        <v>0</v>
      </c>
      <c r="E451" s="22">
        <f>COUNTIF('Sales Log'!$A:$A,A451)</f>
        <v>0</v>
      </c>
      <c r="F451" s="22">
        <f t="shared" si="6"/>
        <v>0</v>
      </c>
    </row>
    <row r="452" spans="1:6" x14ac:dyDescent="0.25">
      <c r="A452" s="8">
        <v>46693</v>
      </c>
      <c r="B452" s="22">
        <f>SUMIF('Sales Log'!$A:$A,A452,'Sales Log'!$F:$F)</f>
        <v>0</v>
      </c>
      <c r="C452" s="22">
        <f>SUMIF('Sales Log'!$A:$A,A452,'Sales Log'!$G:$G)</f>
        <v>0</v>
      </c>
      <c r="D452" s="22">
        <f>SUMIF('Sales Log'!$A:$A,A452,'Sales Log'!$C:$C)</f>
        <v>0</v>
      </c>
      <c r="E452" s="22">
        <f>COUNTIF('Sales Log'!$A:$A,A452)</f>
        <v>0</v>
      </c>
      <c r="F452" s="22">
        <f t="shared" si="6"/>
        <v>0</v>
      </c>
    </row>
    <row r="453" spans="1:6" x14ac:dyDescent="0.25">
      <c r="A453" s="8">
        <v>46694</v>
      </c>
      <c r="B453" s="22">
        <f>SUMIF('Sales Log'!$A:$A,A453,'Sales Log'!$F:$F)</f>
        <v>0</v>
      </c>
      <c r="C453" s="22">
        <f>SUMIF('Sales Log'!$A:$A,A453,'Sales Log'!$G:$G)</f>
        <v>0</v>
      </c>
      <c r="D453" s="22">
        <f>SUMIF('Sales Log'!$A:$A,A453,'Sales Log'!$C:$C)</f>
        <v>0</v>
      </c>
      <c r="E453" s="22">
        <f>COUNTIF('Sales Log'!$A:$A,A453)</f>
        <v>0</v>
      </c>
      <c r="F453" s="22">
        <f t="shared" ref="F453:F499" si="7">IF(B453=0,0,C453/B453)</f>
        <v>0</v>
      </c>
    </row>
    <row r="454" spans="1:6" x14ac:dyDescent="0.25">
      <c r="A454" s="8">
        <v>46695</v>
      </c>
      <c r="B454" s="22">
        <f>SUMIF('Sales Log'!$A:$A,A454,'Sales Log'!$F:$F)</f>
        <v>0</v>
      </c>
      <c r="C454" s="22">
        <f>SUMIF('Sales Log'!$A:$A,A454,'Sales Log'!$G:$G)</f>
        <v>0</v>
      </c>
      <c r="D454" s="22">
        <f>SUMIF('Sales Log'!$A:$A,A454,'Sales Log'!$C:$C)</f>
        <v>0</v>
      </c>
      <c r="E454" s="22">
        <f>COUNTIF('Sales Log'!$A:$A,A454)</f>
        <v>0</v>
      </c>
      <c r="F454" s="22">
        <f t="shared" si="7"/>
        <v>0</v>
      </c>
    </row>
    <row r="455" spans="1:6" x14ac:dyDescent="0.25">
      <c r="A455" s="8">
        <v>46696</v>
      </c>
      <c r="B455" s="22">
        <f>SUMIF('Sales Log'!$A:$A,A455,'Sales Log'!$F:$F)</f>
        <v>0</v>
      </c>
      <c r="C455" s="22">
        <f>SUMIF('Sales Log'!$A:$A,A455,'Sales Log'!$G:$G)</f>
        <v>0</v>
      </c>
      <c r="D455" s="22">
        <f>SUMIF('Sales Log'!$A:$A,A455,'Sales Log'!$C:$C)</f>
        <v>0</v>
      </c>
      <c r="E455" s="22">
        <f>COUNTIF('Sales Log'!$A:$A,A455)</f>
        <v>0</v>
      </c>
      <c r="F455" s="22">
        <f t="shared" si="7"/>
        <v>0</v>
      </c>
    </row>
    <row r="456" spans="1:6" x14ac:dyDescent="0.25">
      <c r="A456" s="8">
        <v>46697</v>
      </c>
      <c r="B456" s="22">
        <f>SUMIF('Sales Log'!$A:$A,A456,'Sales Log'!$F:$F)</f>
        <v>0</v>
      </c>
      <c r="C456" s="22">
        <f>SUMIF('Sales Log'!$A:$A,A456,'Sales Log'!$G:$G)</f>
        <v>0</v>
      </c>
      <c r="D456" s="22">
        <f>SUMIF('Sales Log'!$A:$A,A456,'Sales Log'!$C:$C)</f>
        <v>0</v>
      </c>
      <c r="E456" s="22">
        <f>COUNTIF('Sales Log'!$A:$A,A456)</f>
        <v>0</v>
      </c>
      <c r="F456" s="22">
        <f t="shared" si="7"/>
        <v>0</v>
      </c>
    </row>
    <row r="457" spans="1:6" x14ac:dyDescent="0.25">
      <c r="A457" s="8">
        <v>46698</v>
      </c>
      <c r="B457" s="22">
        <f>SUMIF('Sales Log'!$A:$A,A457,'Sales Log'!$F:$F)</f>
        <v>0</v>
      </c>
      <c r="C457" s="22">
        <f>SUMIF('Sales Log'!$A:$A,A457,'Sales Log'!$G:$G)</f>
        <v>0</v>
      </c>
      <c r="D457" s="22">
        <f>SUMIF('Sales Log'!$A:$A,A457,'Sales Log'!$C:$C)</f>
        <v>0</v>
      </c>
      <c r="E457" s="22">
        <f>COUNTIF('Sales Log'!$A:$A,A457)</f>
        <v>0</v>
      </c>
      <c r="F457" s="22">
        <f t="shared" si="7"/>
        <v>0</v>
      </c>
    </row>
    <row r="458" spans="1:6" x14ac:dyDescent="0.25">
      <c r="A458" s="8">
        <v>46699</v>
      </c>
      <c r="B458" s="22">
        <f>SUMIF('Sales Log'!$A:$A,A458,'Sales Log'!$F:$F)</f>
        <v>0</v>
      </c>
      <c r="C458" s="22">
        <f>SUMIF('Sales Log'!$A:$A,A458,'Sales Log'!$G:$G)</f>
        <v>0</v>
      </c>
      <c r="D458" s="22">
        <f>SUMIF('Sales Log'!$A:$A,A458,'Sales Log'!$C:$C)</f>
        <v>0</v>
      </c>
      <c r="E458" s="22">
        <f>COUNTIF('Sales Log'!$A:$A,A458)</f>
        <v>0</v>
      </c>
      <c r="F458" s="22">
        <f t="shared" si="7"/>
        <v>0</v>
      </c>
    </row>
    <row r="459" spans="1:6" x14ac:dyDescent="0.25">
      <c r="A459" s="8">
        <v>46700</v>
      </c>
      <c r="B459" s="22">
        <f>SUMIF('Sales Log'!$A:$A,A459,'Sales Log'!$F:$F)</f>
        <v>0</v>
      </c>
      <c r="C459" s="22">
        <f>SUMIF('Sales Log'!$A:$A,A459,'Sales Log'!$G:$G)</f>
        <v>0</v>
      </c>
      <c r="D459" s="22">
        <f>SUMIF('Sales Log'!$A:$A,A459,'Sales Log'!$C:$C)</f>
        <v>0</v>
      </c>
      <c r="E459" s="22">
        <f>COUNTIF('Sales Log'!$A:$A,A459)</f>
        <v>0</v>
      </c>
      <c r="F459" s="22">
        <f t="shared" si="7"/>
        <v>0</v>
      </c>
    </row>
    <row r="460" spans="1:6" x14ac:dyDescent="0.25">
      <c r="A460" s="8">
        <v>46701</v>
      </c>
      <c r="B460" s="22">
        <f>SUMIF('Sales Log'!$A:$A,A460,'Sales Log'!$F:$F)</f>
        <v>0</v>
      </c>
      <c r="C460" s="22">
        <f>SUMIF('Sales Log'!$A:$A,A460,'Sales Log'!$G:$G)</f>
        <v>0</v>
      </c>
      <c r="D460" s="22">
        <f>SUMIF('Sales Log'!$A:$A,A460,'Sales Log'!$C:$C)</f>
        <v>0</v>
      </c>
      <c r="E460" s="22">
        <f>COUNTIF('Sales Log'!$A:$A,A460)</f>
        <v>0</v>
      </c>
      <c r="F460" s="22">
        <f t="shared" si="7"/>
        <v>0</v>
      </c>
    </row>
    <row r="461" spans="1:6" x14ac:dyDescent="0.25">
      <c r="A461" s="8">
        <v>46702</v>
      </c>
      <c r="B461" s="22">
        <f>SUMIF('Sales Log'!$A:$A,A461,'Sales Log'!$F:$F)</f>
        <v>0</v>
      </c>
      <c r="C461" s="22">
        <f>SUMIF('Sales Log'!$A:$A,A461,'Sales Log'!$G:$G)</f>
        <v>0</v>
      </c>
      <c r="D461" s="22">
        <f>SUMIF('Sales Log'!$A:$A,A461,'Sales Log'!$C:$C)</f>
        <v>0</v>
      </c>
      <c r="E461" s="22">
        <f>COUNTIF('Sales Log'!$A:$A,A461)</f>
        <v>0</v>
      </c>
      <c r="F461" s="22">
        <f t="shared" si="7"/>
        <v>0</v>
      </c>
    </row>
    <row r="462" spans="1:6" x14ac:dyDescent="0.25">
      <c r="A462" s="8">
        <v>46703</v>
      </c>
      <c r="B462" s="22">
        <f>SUMIF('Sales Log'!$A:$A,A462,'Sales Log'!$F:$F)</f>
        <v>0</v>
      </c>
      <c r="C462" s="22">
        <f>SUMIF('Sales Log'!$A:$A,A462,'Sales Log'!$G:$G)</f>
        <v>0</v>
      </c>
      <c r="D462" s="22">
        <f>SUMIF('Sales Log'!$A:$A,A462,'Sales Log'!$C:$C)</f>
        <v>0</v>
      </c>
      <c r="E462" s="22">
        <f>COUNTIF('Sales Log'!$A:$A,A462)</f>
        <v>0</v>
      </c>
      <c r="F462" s="22">
        <f t="shared" si="7"/>
        <v>0</v>
      </c>
    </row>
    <row r="463" spans="1:6" x14ac:dyDescent="0.25">
      <c r="A463" s="8">
        <v>46704</v>
      </c>
      <c r="B463" s="22">
        <f>SUMIF('Sales Log'!$A:$A,A463,'Sales Log'!$F:$F)</f>
        <v>0</v>
      </c>
      <c r="C463" s="22">
        <f>SUMIF('Sales Log'!$A:$A,A463,'Sales Log'!$G:$G)</f>
        <v>0</v>
      </c>
      <c r="D463" s="22">
        <f>SUMIF('Sales Log'!$A:$A,A463,'Sales Log'!$C:$C)</f>
        <v>0</v>
      </c>
      <c r="E463" s="22">
        <f>COUNTIF('Sales Log'!$A:$A,A463)</f>
        <v>0</v>
      </c>
      <c r="F463" s="22">
        <f t="shared" si="7"/>
        <v>0</v>
      </c>
    </row>
    <row r="464" spans="1:6" x14ac:dyDescent="0.25">
      <c r="A464" s="8">
        <v>46705</v>
      </c>
      <c r="B464" s="22">
        <f>SUMIF('Sales Log'!$A:$A,A464,'Sales Log'!$F:$F)</f>
        <v>0</v>
      </c>
      <c r="C464" s="22">
        <f>SUMIF('Sales Log'!$A:$A,A464,'Sales Log'!$G:$G)</f>
        <v>0</v>
      </c>
      <c r="D464" s="22">
        <f>SUMIF('Sales Log'!$A:$A,A464,'Sales Log'!$C:$C)</f>
        <v>0</v>
      </c>
      <c r="E464" s="22">
        <f>COUNTIF('Sales Log'!$A:$A,A464)</f>
        <v>0</v>
      </c>
      <c r="F464" s="22">
        <f t="shared" si="7"/>
        <v>0</v>
      </c>
    </row>
    <row r="465" spans="1:6" x14ac:dyDescent="0.25">
      <c r="A465" s="8">
        <v>46706</v>
      </c>
      <c r="B465" s="22">
        <f>SUMIF('Sales Log'!$A:$A,A465,'Sales Log'!$F:$F)</f>
        <v>0</v>
      </c>
      <c r="C465" s="22">
        <f>SUMIF('Sales Log'!$A:$A,A465,'Sales Log'!$G:$G)</f>
        <v>0</v>
      </c>
      <c r="D465" s="22">
        <f>SUMIF('Sales Log'!$A:$A,A465,'Sales Log'!$C:$C)</f>
        <v>0</v>
      </c>
      <c r="E465" s="22">
        <f>COUNTIF('Sales Log'!$A:$A,A465)</f>
        <v>0</v>
      </c>
      <c r="F465" s="22">
        <f t="shared" si="7"/>
        <v>0</v>
      </c>
    </row>
    <row r="466" spans="1:6" x14ac:dyDescent="0.25">
      <c r="A466" s="8">
        <v>46707</v>
      </c>
      <c r="B466" s="22">
        <f>SUMIF('Sales Log'!$A:$A,A466,'Sales Log'!$F:$F)</f>
        <v>0</v>
      </c>
      <c r="C466" s="22">
        <f>SUMIF('Sales Log'!$A:$A,A466,'Sales Log'!$G:$G)</f>
        <v>0</v>
      </c>
      <c r="D466" s="22">
        <f>SUMIF('Sales Log'!$A:$A,A466,'Sales Log'!$C:$C)</f>
        <v>0</v>
      </c>
      <c r="E466" s="22">
        <f>COUNTIF('Sales Log'!$A:$A,A466)</f>
        <v>0</v>
      </c>
      <c r="F466" s="22">
        <f t="shared" si="7"/>
        <v>0</v>
      </c>
    </row>
    <row r="467" spans="1:6" x14ac:dyDescent="0.25">
      <c r="A467" s="8">
        <v>46708</v>
      </c>
      <c r="B467" s="22">
        <f>SUMIF('Sales Log'!$A:$A,A467,'Sales Log'!$F:$F)</f>
        <v>0</v>
      </c>
      <c r="C467" s="22">
        <f>SUMIF('Sales Log'!$A:$A,A467,'Sales Log'!$G:$G)</f>
        <v>0</v>
      </c>
      <c r="D467" s="22">
        <f>SUMIF('Sales Log'!$A:$A,A467,'Sales Log'!$C:$C)</f>
        <v>0</v>
      </c>
      <c r="E467" s="22">
        <f>COUNTIF('Sales Log'!$A:$A,A467)</f>
        <v>0</v>
      </c>
      <c r="F467" s="22">
        <f t="shared" si="7"/>
        <v>0</v>
      </c>
    </row>
    <row r="468" spans="1:6" x14ac:dyDescent="0.25">
      <c r="A468" s="8">
        <v>46709</v>
      </c>
      <c r="B468" s="22">
        <f>SUMIF('Sales Log'!$A:$A,A468,'Sales Log'!$F:$F)</f>
        <v>0</v>
      </c>
      <c r="C468" s="22">
        <f>SUMIF('Sales Log'!$A:$A,A468,'Sales Log'!$G:$G)</f>
        <v>0</v>
      </c>
      <c r="D468" s="22">
        <f>SUMIF('Sales Log'!$A:$A,A468,'Sales Log'!$C:$C)</f>
        <v>0</v>
      </c>
      <c r="E468" s="22">
        <f>COUNTIF('Sales Log'!$A:$A,A468)</f>
        <v>0</v>
      </c>
      <c r="F468" s="22">
        <f t="shared" si="7"/>
        <v>0</v>
      </c>
    </row>
    <row r="469" spans="1:6" x14ac:dyDescent="0.25">
      <c r="A469" s="8">
        <v>46710</v>
      </c>
      <c r="B469" s="22">
        <f>SUMIF('Sales Log'!$A:$A,A469,'Sales Log'!$F:$F)</f>
        <v>0</v>
      </c>
      <c r="C469" s="22">
        <f>SUMIF('Sales Log'!$A:$A,A469,'Sales Log'!$G:$G)</f>
        <v>0</v>
      </c>
      <c r="D469" s="22">
        <f>SUMIF('Sales Log'!$A:$A,A469,'Sales Log'!$C:$C)</f>
        <v>0</v>
      </c>
      <c r="E469" s="22">
        <f>COUNTIF('Sales Log'!$A:$A,A469)</f>
        <v>0</v>
      </c>
      <c r="F469" s="22">
        <f t="shared" si="7"/>
        <v>0</v>
      </c>
    </row>
    <row r="470" spans="1:6" x14ac:dyDescent="0.25">
      <c r="A470" s="8">
        <v>46711</v>
      </c>
      <c r="B470" s="22">
        <f>SUMIF('Sales Log'!$A:$A,A470,'Sales Log'!$F:$F)</f>
        <v>0</v>
      </c>
      <c r="C470" s="22">
        <f>SUMIF('Sales Log'!$A:$A,A470,'Sales Log'!$G:$G)</f>
        <v>0</v>
      </c>
      <c r="D470" s="22">
        <f>SUMIF('Sales Log'!$A:$A,A470,'Sales Log'!$C:$C)</f>
        <v>0</v>
      </c>
      <c r="E470" s="22">
        <f>COUNTIF('Sales Log'!$A:$A,A470)</f>
        <v>0</v>
      </c>
      <c r="F470" s="22">
        <f t="shared" si="7"/>
        <v>0</v>
      </c>
    </row>
    <row r="471" spans="1:6" x14ac:dyDescent="0.25">
      <c r="A471" s="8">
        <v>46712</v>
      </c>
      <c r="B471" s="22">
        <f>SUMIF('Sales Log'!$A:$A,A471,'Sales Log'!$F:$F)</f>
        <v>0</v>
      </c>
      <c r="C471" s="22">
        <f>SUMIF('Sales Log'!$A:$A,A471,'Sales Log'!$G:$G)</f>
        <v>0</v>
      </c>
      <c r="D471" s="22">
        <f>SUMIF('Sales Log'!$A:$A,A471,'Sales Log'!$C:$C)</f>
        <v>0</v>
      </c>
      <c r="E471" s="22">
        <f>COUNTIF('Sales Log'!$A:$A,A471)</f>
        <v>0</v>
      </c>
      <c r="F471" s="22">
        <f t="shared" si="7"/>
        <v>0</v>
      </c>
    </row>
    <row r="472" spans="1:6" x14ac:dyDescent="0.25">
      <c r="A472" s="8">
        <v>46713</v>
      </c>
      <c r="B472" s="22">
        <f>SUMIF('Sales Log'!$A:$A,A472,'Sales Log'!$F:$F)</f>
        <v>0</v>
      </c>
      <c r="C472" s="22">
        <f>SUMIF('Sales Log'!$A:$A,A472,'Sales Log'!$G:$G)</f>
        <v>0</v>
      </c>
      <c r="D472" s="22">
        <f>SUMIF('Sales Log'!$A:$A,A472,'Sales Log'!$C:$C)</f>
        <v>0</v>
      </c>
      <c r="E472" s="22">
        <f>COUNTIF('Sales Log'!$A:$A,A472)</f>
        <v>0</v>
      </c>
      <c r="F472" s="22">
        <f t="shared" si="7"/>
        <v>0</v>
      </c>
    </row>
    <row r="473" spans="1:6" x14ac:dyDescent="0.25">
      <c r="A473" s="8">
        <v>46714</v>
      </c>
      <c r="B473" s="22">
        <f>SUMIF('Sales Log'!$A:$A,A473,'Sales Log'!$F:$F)</f>
        <v>0</v>
      </c>
      <c r="C473" s="22">
        <f>SUMIF('Sales Log'!$A:$A,A473,'Sales Log'!$G:$G)</f>
        <v>0</v>
      </c>
      <c r="D473" s="22">
        <f>SUMIF('Sales Log'!$A:$A,A473,'Sales Log'!$C:$C)</f>
        <v>0</v>
      </c>
      <c r="E473" s="22">
        <f>COUNTIF('Sales Log'!$A:$A,A473)</f>
        <v>0</v>
      </c>
      <c r="F473" s="22">
        <f t="shared" si="7"/>
        <v>0</v>
      </c>
    </row>
    <row r="474" spans="1:6" x14ac:dyDescent="0.25">
      <c r="A474" s="8">
        <v>46715</v>
      </c>
      <c r="B474" s="22">
        <f>SUMIF('Sales Log'!$A:$A,A474,'Sales Log'!$F:$F)</f>
        <v>0</v>
      </c>
      <c r="C474" s="22">
        <f>SUMIF('Sales Log'!$A:$A,A474,'Sales Log'!$G:$G)</f>
        <v>0</v>
      </c>
      <c r="D474" s="22">
        <f>SUMIF('Sales Log'!$A:$A,A474,'Sales Log'!$C:$C)</f>
        <v>0</v>
      </c>
      <c r="E474" s="22">
        <f>COUNTIF('Sales Log'!$A:$A,A474)</f>
        <v>0</v>
      </c>
      <c r="F474" s="22">
        <f t="shared" si="7"/>
        <v>0</v>
      </c>
    </row>
    <row r="475" spans="1:6" x14ac:dyDescent="0.25">
      <c r="A475" s="8">
        <v>46716</v>
      </c>
      <c r="B475" s="22">
        <f>SUMIF('Sales Log'!$A:$A,A475,'Sales Log'!$F:$F)</f>
        <v>0</v>
      </c>
      <c r="C475" s="22">
        <f>SUMIF('Sales Log'!$A:$A,A475,'Sales Log'!$G:$G)</f>
        <v>0</v>
      </c>
      <c r="D475" s="22">
        <f>SUMIF('Sales Log'!$A:$A,A475,'Sales Log'!$C:$C)</f>
        <v>0</v>
      </c>
      <c r="E475" s="22">
        <f>COUNTIF('Sales Log'!$A:$A,A475)</f>
        <v>0</v>
      </c>
      <c r="F475" s="22">
        <f t="shared" si="7"/>
        <v>0</v>
      </c>
    </row>
    <row r="476" spans="1:6" x14ac:dyDescent="0.25">
      <c r="A476" s="8">
        <v>46717</v>
      </c>
      <c r="B476" s="22">
        <f>SUMIF('Sales Log'!$A:$A,A476,'Sales Log'!$F:$F)</f>
        <v>0</v>
      </c>
      <c r="C476" s="22">
        <f>SUMIF('Sales Log'!$A:$A,A476,'Sales Log'!$G:$G)</f>
        <v>0</v>
      </c>
      <c r="D476" s="22">
        <f>SUMIF('Sales Log'!$A:$A,A476,'Sales Log'!$C:$C)</f>
        <v>0</v>
      </c>
      <c r="E476" s="22">
        <f>COUNTIF('Sales Log'!$A:$A,A476)</f>
        <v>0</v>
      </c>
      <c r="F476" s="22">
        <f t="shared" si="7"/>
        <v>0</v>
      </c>
    </row>
    <row r="477" spans="1:6" x14ac:dyDescent="0.25">
      <c r="A477" s="8">
        <v>46718</v>
      </c>
      <c r="B477" s="22">
        <f>SUMIF('Sales Log'!$A:$A,A477,'Sales Log'!$F:$F)</f>
        <v>0</v>
      </c>
      <c r="C477" s="22">
        <f>SUMIF('Sales Log'!$A:$A,A477,'Sales Log'!$G:$G)</f>
        <v>0</v>
      </c>
      <c r="D477" s="22">
        <f>SUMIF('Sales Log'!$A:$A,A477,'Sales Log'!$C:$C)</f>
        <v>0</v>
      </c>
      <c r="E477" s="22">
        <f>COUNTIF('Sales Log'!$A:$A,A477)</f>
        <v>0</v>
      </c>
      <c r="F477" s="22">
        <f t="shared" si="7"/>
        <v>0</v>
      </c>
    </row>
    <row r="478" spans="1:6" x14ac:dyDescent="0.25">
      <c r="A478" s="8">
        <v>46719</v>
      </c>
      <c r="B478" s="22">
        <f>SUMIF('Sales Log'!$A:$A,A478,'Sales Log'!$F:$F)</f>
        <v>0</v>
      </c>
      <c r="C478" s="22">
        <f>SUMIF('Sales Log'!$A:$A,A478,'Sales Log'!$G:$G)</f>
        <v>0</v>
      </c>
      <c r="D478" s="22">
        <f>SUMIF('Sales Log'!$A:$A,A478,'Sales Log'!$C:$C)</f>
        <v>0</v>
      </c>
      <c r="E478" s="22">
        <f>COUNTIF('Sales Log'!$A:$A,A478)</f>
        <v>0</v>
      </c>
      <c r="F478" s="22">
        <f t="shared" si="7"/>
        <v>0</v>
      </c>
    </row>
    <row r="479" spans="1:6" x14ac:dyDescent="0.25">
      <c r="A479" s="8">
        <v>46720</v>
      </c>
      <c r="B479" s="22">
        <f>SUMIF('Sales Log'!$A:$A,A479,'Sales Log'!$F:$F)</f>
        <v>0</v>
      </c>
      <c r="C479" s="22">
        <f>SUMIF('Sales Log'!$A:$A,A479,'Sales Log'!$G:$G)</f>
        <v>0</v>
      </c>
      <c r="D479" s="22">
        <f>SUMIF('Sales Log'!$A:$A,A479,'Sales Log'!$C:$C)</f>
        <v>0</v>
      </c>
      <c r="E479" s="22">
        <f>COUNTIF('Sales Log'!$A:$A,A479)</f>
        <v>0</v>
      </c>
      <c r="F479" s="22">
        <f t="shared" si="7"/>
        <v>0</v>
      </c>
    </row>
    <row r="480" spans="1:6" x14ac:dyDescent="0.25">
      <c r="A480" s="8">
        <v>46721</v>
      </c>
      <c r="B480" s="22">
        <f>SUMIF('Sales Log'!$A:$A,A480,'Sales Log'!$F:$F)</f>
        <v>0</v>
      </c>
      <c r="C480" s="22">
        <f>SUMIF('Sales Log'!$A:$A,A480,'Sales Log'!$G:$G)</f>
        <v>0</v>
      </c>
      <c r="D480" s="22">
        <f>SUMIF('Sales Log'!$A:$A,A480,'Sales Log'!$C:$C)</f>
        <v>0</v>
      </c>
      <c r="E480" s="22">
        <f>COUNTIF('Sales Log'!$A:$A,A480)</f>
        <v>0</v>
      </c>
      <c r="F480" s="22">
        <f t="shared" si="7"/>
        <v>0</v>
      </c>
    </row>
    <row r="481" spans="1:6" x14ac:dyDescent="0.25">
      <c r="A481" s="8">
        <v>46722</v>
      </c>
      <c r="B481" s="22">
        <f>SUMIF('Sales Log'!$A:$A,A481,'Sales Log'!$F:$F)</f>
        <v>0</v>
      </c>
      <c r="C481" s="22">
        <f>SUMIF('Sales Log'!$A:$A,A481,'Sales Log'!$G:$G)</f>
        <v>0</v>
      </c>
      <c r="D481" s="22">
        <f>SUMIF('Sales Log'!$A:$A,A481,'Sales Log'!$C:$C)</f>
        <v>0</v>
      </c>
      <c r="E481" s="22">
        <f>COUNTIF('Sales Log'!$A:$A,A481)</f>
        <v>0</v>
      </c>
      <c r="F481" s="22">
        <f t="shared" si="7"/>
        <v>0</v>
      </c>
    </row>
    <row r="482" spans="1:6" x14ac:dyDescent="0.25">
      <c r="A482" s="8">
        <v>46723</v>
      </c>
      <c r="B482" s="22">
        <f>SUMIF('Sales Log'!$A:$A,A482,'Sales Log'!$F:$F)</f>
        <v>0</v>
      </c>
      <c r="C482" s="22">
        <f>SUMIF('Sales Log'!$A:$A,A482,'Sales Log'!$G:$G)</f>
        <v>0</v>
      </c>
      <c r="D482" s="22">
        <f>SUMIF('Sales Log'!$A:$A,A482,'Sales Log'!$C:$C)</f>
        <v>0</v>
      </c>
      <c r="E482" s="22">
        <f>COUNTIF('Sales Log'!$A:$A,A482)</f>
        <v>0</v>
      </c>
      <c r="F482" s="22">
        <f t="shared" si="7"/>
        <v>0</v>
      </c>
    </row>
    <row r="483" spans="1:6" x14ac:dyDescent="0.25">
      <c r="A483" s="8">
        <v>46724</v>
      </c>
      <c r="B483" s="22">
        <f>SUMIF('Sales Log'!$A:$A,A483,'Sales Log'!$F:$F)</f>
        <v>0</v>
      </c>
      <c r="C483" s="22">
        <f>SUMIF('Sales Log'!$A:$A,A483,'Sales Log'!$G:$G)</f>
        <v>0</v>
      </c>
      <c r="D483" s="22">
        <f>SUMIF('Sales Log'!$A:$A,A483,'Sales Log'!$C:$C)</f>
        <v>0</v>
      </c>
      <c r="E483" s="22">
        <f>COUNTIF('Sales Log'!$A:$A,A483)</f>
        <v>0</v>
      </c>
      <c r="F483" s="22">
        <f t="shared" si="7"/>
        <v>0</v>
      </c>
    </row>
    <row r="484" spans="1:6" x14ac:dyDescent="0.25">
      <c r="A484" s="8">
        <v>46725</v>
      </c>
      <c r="B484" s="22">
        <f>SUMIF('Sales Log'!$A:$A,A484,'Sales Log'!$F:$F)</f>
        <v>0</v>
      </c>
      <c r="C484" s="22">
        <f>SUMIF('Sales Log'!$A:$A,A484,'Sales Log'!$G:$G)</f>
        <v>0</v>
      </c>
      <c r="D484" s="22">
        <f>SUMIF('Sales Log'!$A:$A,A484,'Sales Log'!$C:$C)</f>
        <v>0</v>
      </c>
      <c r="E484" s="22">
        <f>COUNTIF('Sales Log'!$A:$A,A484)</f>
        <v>0</v>
      </c>
      <c r="F484" s="22">
        <f t="shared" si="7"/>
        <v>0</v>
      </c>
    </row>
    <row r="485" spans="1:6" x14ac:dyDescent="0.25">
      <c r="A485" s="8">
        <v>46726</v>
      </c>
      <c r="B485" s="22">
        <f>SUMIF('Sales Log'!$A:$A,A485,'Sales Log'!$F:$F)</f>
        <v>0</v>
      </c>
      <c r="C485" s="22">
        <f>SUMIF('Sales Log'!$A:$A,A485,'Sales Log'!$G:$G)</f>
        <v>0</v>
      </c>
      <c r="D485" s="22">
        <f>SUMIF('Sales Log'!$A:$A,A485,'Sales Log'!$C:$C)</f>
        <v>0</v>
      </c>
      <c r="E485" s="22">
        <f>COUNTIF('Sales Log'!$A:$A,A485)</f>
        <v>0</v>
      </c>
      <c r="F485" s="22">
        <f t="shared" si="7"/>
        <v>0</v>
      </c>
    </row>
    <row r="486" spans="1:6" x14ac:dyDescent="0.25">
      <c r="A486" s="8">
        <v>46727</v>
      </c>
      <c r="B486" s="22">
        <f>SUMIF('Sales Log'!$A:$A,A486,'Sales Log'!$F:$F)</f>
        <v>0</v>
      </c>
      <c r="C486" s="22">
        <f>SUMIF('Sales Log'!$A:$A,A486,'Sales Log'!$G:$G)</f>
        <v>0</v>
      </c>
      <c r="D486" s="22">
        <f>SUMIF('Sales Log'!$A:$A,A486,'Sales Log'!$C:$C)</f>
        <v>0</v>
      </c>
      <c r="E486" s="22">
        <f>COUNTIF('Sales Log'!$A:$A,A486)</f>
        <v>0</v>
      </c>
      <c r="F486" s="22">
        <f t="shared" si="7"/>
        <v>0</v>
      </c>
    </row>
    <row r="487" spans="1:6" x14ac:dyDescent="0.25">
      <c r="A487" s="8">
        <v>46728</v>
      </c>
      <c r="B487" s="22">
        <f>SUMIF('Sales Log'!$A:$A,A487,'Sales Log'!$F:$F)</f>
        <v>0</v>
      </c>
      <c r="C487" s="22">
        <f>SUMIF('Sales Log'!$A:$A,A487,'Sales Log'!$G:$G)</f>
        <v>0</v>
      </c>
      <c r="D487" s="22">
        <f>SUMIF('Sales Log'!$A:$A,A487,'Sales Log'!$C:$C)</f>
        <v>0</v>
      </c>
      <c r="E487" s="22">
        <f>COUNTIF('Sales Log'!$A:$A,A487)</f>
        <v>0</v>
      </c>
      <c r="F487" s="22">
        <f t="shared" si="7"/>
        <v>0</v>
      </c>
    </row>
    <row r="488" spans="1:6" x14ac:dyDescent="0.25">
      <c r="A488" s="8">
        <v>46729</v>
      </c>
      <c r="B488" s="22">
        <f>SUMIF('Sales Log'!$A:$A,A488,'Sales Log'!$F:$F)</f>
        <v>0</v>
      </c>
      <c r="C488" s="22">
        <f>SUMIF('Sales Log'!$A:$A,A488,'Sales Log'!$G:$G)</f>
        <v>0</v>
      </c>
      <c r="D488" s="22">
        <f>SUMIF('Sales Log'!$A:$A,A488,'Sales Log'!$C:$C)</f>
        <v>0</v>
      </c>
      <c r="E488" s="22">
        <f>COUNTIF('Sales Log'!$A:$A,A488)</f>
        <v>0</v>
      </c>
      <c r="F488" s="22">
        <f t="shared" si="7"/>
        <v>0</v>
      </c>
    </row>
    <row r="489" spans="1:6" x14ac:dyDescent="0.25">
      <c r="A489" s="8">
        <v>46730</v>
      </c>
      <c r="B489" s="22">
        <f>SUMIF('Sales Log'!$A:$A,A489,'Sales Log'!$F:$F)</f>
        <v>0</v>
      </c>
      <c r="C489" s="22">
        <f>SUMIF('Sales Log'!$A:$A,A489,'Sales Log'!$G:$G)</f>
        <v>0</v>
      </c>
      <c r="D489" s="22">
        <f>SUMIF('Sales Log'!$A:$A,A489,'Sales Log'!$C:$C)</f>
        <v>0</v>
      </c>
      <c r="E489" s="22">
        <f>COUNTIF('Sales Log'!$A:$A,A489)</f>
        <v>0</v>
      </c>
      <c r="F489" s="22">
        <f t="shared" si="7"/>
        <v>0</v>
      </c>
    </row>
    <row r="490" spans="1:6" x14ac:dyDescent="0.25">
      <c r="A490" s="8">
        <v>46731</v>
      </c>
      <c r="B490" s="22">
        <f>SUMIF('Sales Log'!$A:$A,A490,'Sales Log'!$F:$F)</f>
        <v>0</v>
      </c>
      <c r="C490" s="22">
        <f>SUMIF('Sales Log'!$A:$A,A490,'Sales Log'!$G:$G)</f>
        <v>0</v>
      </c>
      <c r="D490" s="22">
        <f>SUMIF('Sales Log'!$A:$A,A490,'Sales Log'!$C:$C)</f>
        <v>0</v>
      </c>
      <c r="E490" s="22">
        <f>COUNTIF('Sales Log'!$A:$A,A490)</f>
        <v>0</v>
      </c>
      <c r="F490" s="22">
        <f t="shared" si="7"/>
        <v>0</v>
      </c>
    </row>
    <row r="491" spans="1:6" x14ac:dyDescent="0.25">
      <c r="A491" s="8">
        <v>46732</v>
      </c>
      <c r="B491" s="22">
        <f>SUMIF('Sales Log'!$A:$A,A491,'Sales Log'!$F:$F)</f>
        <v>0</v>
      </c>
      <c r="C491" s="22">
        <f>SUMIF('Sales Log'!$A:$A,A491,'Sales Log'!$G:$G)</f>
        <v>0</v>
      </c>
      <c r="D491" s="22">
        <f>SUMIF('Sales Log'!$A:$A,A491,'Sales Log'!$C:$C)</f>
        <v>0</v>
      </c>
      <c r="E491" s="22">
        <f>COUNTIF('Sales Log'!$A:$A,A491)</f>
        <v>0</v>
      </c>
      <c r="F491" s="22">
        <f t="shared" si="7"/>
        <v>0</v>
      </c>
    </row>
    <row r="492" spans="1:6" x14ac:dyDescent="0.25">
      <c r="A492" s="8">
        <v>46733</v>
      </c>
      <c r="B492" s="22">
        <f>SUMIF('Sales Log'!$A:$A,A492,'Sales Log'!$F:$F)</f>
        <v>0</v>
      </c>
      <c r="C492" s="22">
        <f>SUMIF('Sales Log'!$A:$A,A492,'Sales Log'!$G:$G)</f>
        <v>0</v>
      </c>
      <c r="D492" s="22">
        <f>SUMIF('Sales Log'!$A:$A,A492,'Sales Log'!$C:$C)</f>
        <v>0</v>
      </c>
      <c r="E492" s="22">
        <f>COUNTIF('Sales Log'!$A:$A,A492)</f>
        <v>0</v>
      </c>
      <c r="F492" s="22">
        <f t="shared" si="7"/>
        <v>0</v>
      </c>
    </row>
    <row r="493" spans="1:6" x14ac:dyDescent="0.25">
      <c r="A493" s="8">
        <v>46734</v>
      </c>
      <c r="B493" s="22">
        <f>SUMIF('Sales Log'!$A:$A,A493,'Sales Log'!$F:$F)</f>
        <v>0</v>
      </c>
      <c r="C493" s="22">
        <f>SUMIF('Sales Log'!$A:$A,A493,'Sales Log'!$G:$G)</f>
        <v>0</v>
      </c>
      <c r="D493" s="22">
        <f>SUMIF('Sales Log'!$A:$A,A493,'Sales Log'!$C:$C)</f>
        <v>0</v>
      </c>
      <c r="E493" s="22">
        <f>COUNTIF('Sales Log'!$A:$A,A493)</f>
        <v>0</v>
      </c>
      <c r="F493" s="22">
        <f t="shared" si="7"/>
        <v>0</v>
      </c>
    </row>
    <row r="494" spans="1:6" x14ac:dyDescent="0.25">
      <c r="A494" s="8">
        <v>46735</v>
      </c>
      <c r="B494" s="22">
        <f>SUMIF('Sales Log'!$A:$A,A494,'Sales Log'!$F:$F)</f>
        <v>0</v>
      </c>
      <c r="C494" s="22">
        <f>SUMIF('Sales Log'!$A:$A,A494,'Sales Log'!$G:$G)</f>
        <v>0</v>
      </c>
      <c r="D494" s="22">
        <f>SUMIF('Sales Log'!$A:$A,A494,'Sales Log'!$C:$C)</f>
        <v>0</v>
      </c>
      <c r="E494" s="22">
        <f>COUNTIF('Sales Log'!$A:$A,A494)</f>
        <v>0</v>
      </c>
      <c r="F494" s="22">
        <f t="shared" si="7"/>
        <v>0</v>
      </c>
    </row>
    <row r="495" spans="1:6" x14ac:dyDescent="0.25">
      <c r="A495" s="8">
        <v>46736</v>
      </c>
      <c r="B495" s="22">
        <f>SUMIF('Sales Log'!$A:$A,A495,'Sales Log'!$F:$F)</f>
        <v>0</v>
      </c>
      <c r="C495" s="22">
        <f>SUMIF('Sales Log'!$A:$A,A495,'Sales Log'!$G:$G)</f>
        <v>0</v>
      </c>
      <c r="D495" s="22">
        <f>SUMIF('Sales Log'!$A:$A,A495,'Sales Log'!$C:$C)</f>
        <v>0</v>
      </c>
      <c r="E495" s="22">
        <f>COUNTIF('Sales Log'!$A:$A,A495)</f>
        <v>0</v>
      </c>
      <c r="F495" s="22">
        <f t="shared" si="7"/>
        <v>0</v>
      </c>
    </row>
    <row r="496" spans="1:6" x14ac:dyDescent="0.25">
      <c r="A496" s="8">
        <v>46737</v>
      </c>
      <c r="B496" s="22">
        <f>SUMIF('Sales Log'!$A:$A,A496,'Sales Log'!$F:$F)</f>
        <v>0</v>
      </c>
      <c r="C496" s="22">
        <f>SUMIF('Sales Log'!$A:$A,A496,'Sales Log'!$G:$G)</f>
        <v>0</v>
      </c>
      <c r="D496" s="22">
        <f>SUMIF('Sales Log'!$A:$A,A496,'Sales Log'!$C:$C)</f>
        <v>0</v>
      </c>
      <c r="E496" s="22">
        <f>COUNTIF('Sales Log'!$A:$A,A496)</f>
        <v>0</v>
      </c>
      <c r="F496" s="22">
        <f t="shared" si="7"/>
        <v>0</v>
      </c>
    </row>
    <row r="497" spans="1:6" x14ac:dyDescent="0.25">
      <c r="A497" s="8">
        <v>46738</v>
      </c>
      <c r="B497" s="22">
        <f>SUMIF('Sales Log'!$A:$A,A497,'Sales Log'!$F:$F)</f>
        <v>0</v>
      </c>
      <c r="C497" s="22">
        <f>SUMIF('Sales Log'!$A:$A,A497,'Sales Log'!$G:$G)</f>
        <v>0</v>
      </c>
      <c r="D497" s="22">
        <f>SUMIF('Sales Log'!$A:$A,A497,'Sales Log'!$C:$C)</f>
        <v>0</v>
      </c>
      <c r="E497" s="22">
        <f>COUNTIF('Sales Log'!$A:$A,A497)</f>
        <v>0</v>
      </c>
      <c r="F497" s="22">
        <f t="shared" si="7"/>
        <v>0</v>
      </c>
    </row>
    <row r="498" spans="1:6" x14ac:dyDescent="0.25">
      <c r="A498" s="8">
        <v>46739</v>
      </c>
      <c r="B498" s="22">
        <f>SUMIF('Sales Log'!$A:$A,A498,'Sales Log'!$F:$F)</f>
        <v>0</v>
      </c>
      <c r="C498" s="22">
        <f>SUMIF('Sales Log'!$A:$A,A498,'Sales Log'!$G:$G)</f>
        <v>0</v>
      </c>
      <c r="D498" s="22">
        <f>SUMIF('Sales Log'!$A:$A,A498,'Sales Log'!$C:$C)</f>
        <v>0</v>
      </c>
      <c r="E498" s="22">
        <f>COUNTIF('Sales Log'!$A:$A,A498)</f>
        <v>0</v>
      </c>
      <c r="F498" s="22">
        <f t="shared" si="7"/>
        <v>0</v>
      </c>
    </row>
    <row r="499" spans="1:6" x14ac:dyDescent="0.25">
      <c r="A499" s="8">
        <v>46740</v>
      </c>
      <c r="B499" s="22">
        <f>SUMIF('Sales Log'!$A:$A,A499,'Sales Log'!$F:$F)</f>
        <v>0</v>
      </c>
      <c r="C499" s="22">
        <f>SUMIF('Sales Log'!$A:$A,A499,'Sales Log'!$G:$G)</f>
        <v>0</v>
      </c>
      <c r="D499" s="22">
        <f>SUMIF('Sales Log'!$A:$A,A499,'Sales Log'!$C:$C)</f>
        <v>0</v>
      </c>
      <c r="E499" s="22">
        <f>COUNTIF('Sales Log'!$A:$A,A499)</f>
        <v>0</v>
      </c>
      <c r="F499" s="22">
        <f t="shared" si="7"/>
        <v>0</v>
      </c>
    </row>
  </sheetData>
  <mergeCells count="1">
    <mergeCell ref="A1:F1"/>
  </mergeCells>
  <pageMargins left="0.75" right="0.75" top="1" bottom="1" header="0.5" footer="0.5"/>
  <pageSetup scale="7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4"/>
  <sheetViews>
    <sheetView showGridLines="0" workbookViewId="0">
      <selection activeCell="E15" sqref="E15"/>
    </sheetView>
  </sheetViews>
  <sheetFormatPr defaultRowHeight="15" x14ac:dyDescent="0.25"/>
  <cols>
    <col min="1" max="1" width="25" style="3" customWidth="1"/>
    <col min="2" max="2" width="15" style="3" customWidth="1"/>
    <col min="3" max="3" width="25" style="3" customWidth="1"/>
    <col min="4" max="5" width="20" style="3" customWidth="1"/>
    <col min="6" max="6" width="15" style="3" customWidth="1"/>
    <col min="7" max="16384" width="9.140625" style="3"/>
  </cols>
  <sheetData>
    <row r="1" spans="1:6" ht="32.1" customHeight="1" x14ac:dyDescent="0.35">
      <c r="A1" s="68" t="s">
        <v>47</v>
      </c>
      <c r="B1" s="70"/>
      <c r="C1" s="70"/>
      <c r="D1" s="70"/>
      <c r="E1" s="70"/>
      <c r="F1" s="70"/>
    </row>
    <row r="2" spans="1:6" x14ac:dyDescent="0.25">
      <c r="A2" s="5"/>
      <c r="B2" s="5"/>
      <c r="C2" s="5"/>
      <c r="D2" s="5"/>
      <c r="E2" s="5"/>
      <c r="F2" s="5"/>
    </row>
    <row r="3" spans="1:6" x14ac:dyDescent="0.25">
      <c r="A3" s="10" t="s">
        <v>42</v>
      </c>
      <c r="B3" s="5"/>
      <c r="C3" s="10" t="s">
        <v>43</v>
      </c>
      <c r="D3" s="5"/>
      <c r="E3" s="10" t="s">
        <v>44</v>
      </c>
      <c r="F3" s="5"/>
    </row>
    <row r="4" spans="1:6" ht="18.75" x14ac:dyDescent="0.3">
      <c r="A4" s="11">
        <f>SUM('Sales Log'!F:F)</f>
        <v>9316</v>
      </c>
      <c r="B4" s="5"/>
      <c r="C4" s="11">
        <f>SUM('Sales Log'!G:G)</f>
        <v>952.14904673161084</v>
      </c>
      <c r="D4" s="5"/>
      <c r="E4" s="11">
        <f>SUM('Sales Log'!C:C)</f>
        <v>520.95499999999981</v>
      </c>
      <c r="F4" s="5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CEC4-7EFF-42C4-A0A5-6605C3D71E6F}">
  <sheetPr codeName="Sheet9"/>
  <dimension ref="A1:O19"/>
  <sheetViews>
    <sheetView tabSelected="1" workbookViewId="0">
      <selection activeCell="D32" sqref="D32"/>
    </sheetView>
  </sheetViews>
  <sheetFormatPr defaultRowHeight="15" x14ac:dyDescent="0.25"/>
  <cols>
    <col min="1" max="1" width="10.7109375" style="3" bestFit="1" customWidth="1"/>
    <col min="2" max="3" width="11.5703125" style="3" customWidth="1"/>
    <col min="4" max="4" width="13.85546875" style="3" customWidth="1"/>
    <col min="5" max="11" width="9.140625" style="3"/>
    <col min="12" max="12" width="22.140625" style="3" customWidth="1"/>
    <col min="13" max="13" width="9.140625" style="3"/>
    <col min="14" max="14" width="17.5703125" style="3" customWidth="1"/>
    <col min="15" max="16384" width="9.140625" style="3"/>
  </cols>
  <sheetData>
    <row r="1" spans="1:15" s="20" customFormat="1" ht="23.25" x14ac:dyDescent="0.35">
      <c r="A1" s="20" t="s">
        <v>29</v>
      </c>
      <c r="B1" s="20" t="s">
        <v>55</v>
      </c>
      <c r="C1" s="20" t="s">
        <v>56</v>
      </c>
      <c r="D1" s="20" t="s">
        <v>57</v>
      </c>
    </row>
    <row r="2" spans="1:15" s="20" customFormat="1" ht="23.25" x14ac:dyDescent="0.35">
      <c r="B2" s="71" t="s">
        <v>61</v>
      </c>
      <c r="C2" s="71"/>
      <c r="J2" s="3" t="s">
        <v>87</v>
      </c>
      <c r="K2" s="3" t="s">
        <v>85</v>
      </c>
    </row>
    <row r="3" spans="1:15" x14ac:dyDescent="0.25">
      <c r="A3" s="21">
        <v>46246</v>
      </c>
      <c r="B3" s="3" t="s">
        <v>60</v>
      </c>
      <c r="C3" s="3">
        <v>177</v>
      </c>
      <c r="D3" s="3" t="s">
        <v>61</v>
      </c>
      <c r="G3" s="3">
        <v>2290</v>
      </c>
      <c r="H3" s="3" t="s">
        <v>79</v>
      </c>
      <c r="J3" s="3">
        <v>23</v>
      </c>
      <c r="K3" s="3">
        <v>5769</v>
      </c>
    </row>
    <row r="4" spans="1:15" x14ac:dyDescent="0.25">
      <c r="A4" s="21">
        <v>46261</v>
      </c>
      <c r="B4" s="3" t="s">
        <v>60</v>
      </c>
      <c r="C4" s="3">
        <v>25</v>
      </c>
      <c r="D4" s="3" t="s">
        <v>121</v>
      </c>
      <c r="G4" s="3">
        <v>1701</v>
      </c>
      <c r="H4" s="3" t="s">
        <v>80</v>
      </c>
      <c r="J4" s="3">
        <v>24</v>
      </c>
      <c r="K4" s="3">
        <v>392</v>
      </c>
      <c r="N4" s="3" t="s">
        <v>77</v>
      </c>
      <c r="O4" s="3">
        <v>1915</v>
      </c>
    </row>
    <row r="5" spans="1:15" x14ac:dyDescent="0.25">
      <c r="A5" s="21"/>
      <c r="G5" s="3">
        <v>9397</v>
      </c>
      <c r="H5" s="3" t="s">
        <v>85</v>
      </c>
      <c r="J5" s="3">
        <v>25</v>
      </c>
      <c r="K5" s="3">
        <v>451</v>
      </c>
      <c r="N5" s="3" t="s">
        <v>86</v>
      </c>
      <c r="O5" s="3">
        <v>4900</v>
      </c>
    </row>
    <row r="6" spans="1:15" x14ac:dyDescent="0.25">
      <c r="A6" s="21">
        <v>46246</v>
      </c>
      <c r="B6" s="3" t="s">
        <v>51</v>
      </c>
      <c r="C6" s="3">
        <v>130</v>
      </c>
      <c r="D6" s="3" t="s">
        <v>53</v>
      </c>
      <c r="G6" s="3">
        <f>SUM(G3:G5)</f>
        <v>13388</v>
      </c>
      <c r="J6" s="3" t="s">
        <v>118</v>
      </c>
      <c r="K6" s="3">
        <v>2495</v>
      </c>
      <c r="N6" s="3" t="s">
        <v>127</v>
      </c>
      <c r="O6" s="3">
        <v>78</v>
      </c>
    </row>
    <row r="7" spans="1:15" x14ac:dyDescent="0.25">
      <c r="A7" s="21">
        <v>46246</v>
      </c>
      <c r="B7" s="3" t="s">
        <v>52</v>
      </c>
      <c r="C7" s="3">
        <v>50</v>
      </c>
      <c r="D7" s="3" t="s">
        <v>53</v>
      </c>
      <c r="K7" s="3">
        <v>290</v>
      </c>
      <c r="L7" s="37">
        <f>SUM(K3:K16)</f>
        <v>9397</v>
      </c>
      <c r="N7" s="3" t="s">
        <v>126</v>
      </c>
      <c r="O7" s="3">
        <v>36</v>
      </c>
    </row>
    <row r="8" spans="1:15" x14ac:dyDescent="0.25">
      <c r="A8" s="21"/>
      <c r="L8" s="37"/>
      <c r="N8" s="3" t="s">
        <v>125</v>
      </c>
      <c r="O8" s="3">
        <v>12</v>
      </c>
    </row>
    <row r="9" spans="1:15" x14ac:dyDescent="0.25">
      <c r="N9" s="3" t="s">
        <v>124</v>
      </c>
      <c r="O9" s="3">
        <v>245</v>
      </c>
    </row>
    <row r="10" spans="1:15" ht="23.25" x14ac:dyDescent="0.35">
      <c r="B10" s="71" t="s">
        <v>122</v>
      </c>
      <c r="C10" s="71"/>
      <c r="N10" s="3" t="s">
        <v>123</v>
      </c>
      <c r="O10" s="3">
        <v>721</v>
      </c>
    </row>
    <row r="11" spans="1:15" x14ac:dyDescent="0.25">
      <c r="A11" s="21">
        <v>46246</v>
      </c>
      <c r="B11" s="3" t="s">
        <v>51</v>
      </c>
      <c r="C11" s="3">
        <v>200</v>
      </c>
      <c r="D11" s="3" t="s">
        <v>54</v>
      </c>
      <c r="I11" s="3" t="s">
        <v>88</v>
      </c>
      <c r="J11" s="3">
        <f>G6-O17</f>
        <v>-576</v>
      </c>
    </row>
    <row r="12" spans="1:15" x14ac:dyDescent="0.25">
      <c r="A12" s="21">
        <v>46248</v>
      </c>
      <c r="B12" s="3" t="s">
        <v>58</v>
      </c>
      <c r="C12" s="3">
        <v>800</v>
      </c>
      <c r="D12" s="3" t="s">
        <v>59</v>
      </c>
      <c r="N12" s="3" t="s">
        <v>78</v>
      </c>
      <c r="O12" s="3">
        <v>5784</v>
      </c>
    </row>
    <row r="13" spans="1:15" x14ac:dyDescent="0.25">
      <c r="A13" s="21">
        <v>46251</v>
      </c>
      <c r="B13" s="3" t="s">
        <v>51</v>
      </c>
      <c r="C13" s="3">
        <v>200</v>
      </c>
      <c r="D13" s="3" t="s">
        <v>69</v>
      </c>
      <c r="N13" s="3" t="s">
        <v>81</v>
      </c>
      <c r="O13" s="3">
        <v>25</v>
      </c>
    </row>
    <row r="14" spans="1:15" x14ac:dyDescent="0.25">
      <c r="A14" s="21">
        <v>46259</v>
      </c>
      <c r="B14" s="3" t="s">
        <v>70</v>
      </c>
      <c r="C14" s="3">
        <v>327</v>
      </c>
      <c r="D14" s="3" t="s">
        <v>75</v>
      </c>
      <c r="N14" s="3" t="s">
        <v>83</v>
      </c>
      <c r="O14" s="3">
        <v>20</v>
      </c>
    </row>
    <row r="15" spans="1:15" x14ac:dyDescent="0.25">
      <c r="A15" s="21">
        <v>46254</v>
      </c>
      <c r="B15" s="3" t="s">
        <v>70</v>
      </c>
      <c r="C15" s="3">
        <v>620</v>
      </c>
      <c r="D15" s="3" t="s">
        <v>71</v>
      </c>
      <c r="N15" s="3" t="s">
        <v>51</v>
      </c>
      <c r="O15" s="3">
        <v>228</v>
      </c>
    </row>
    <row r="16" spans="1:15" x14ac:dyDescent="0.25">
      <c r="A16" s="21">
        <v>46259</v>
      </c>
      <c r="B16" s="3" t="s">
        <v>70</v>
      </c>
      <c r="C16" s="3">
        <v>250</v>
      </c>
      <c r="D16" s="3" t="s">
        <v>76</v>
      </c>
      <c r="J16" s="37"/>
      <c r="N16" s="3" t="s">
        <v>84</v>
      </c>
    </row>
    <row r="17" spans="1:15" x14ac:dyDescent="0.25">
      <c r="A17" s="21">
        <v>46259</v>
      </c>
      <c r="B17" s="3" t="s">
        <v>70</v>
      </c>
      <c r="C17" s="3">
        <v>40</v>
      </c>
      <c r="D17" s="3" t="s">
        <v>82</v>
      </c>
      <c r="O17" s="3">
        <f>SUM(O1:O16)</f>
        <v>13964</v>
      </c>
    </row>
    <row r="18" spans="1:15" x14ac:dyDescent="0.25">
      <c r="A18" s="21">
        <v>46262</v>
      </c>
      <c r="B18" s="3" t="s">
        <v>119</v>
      </c>
      <c r="C18" s="3">
        <v>1000</v>
      </c>
      <c r="D18" s="3" t="s">
        <v>120</v>
      </c>
    </row>
    <row r="19" spans="1:15" x14ac:dyDescent="0.25">
      <c r="A19" s="21">
        <v>46253</v>
      </c>
      <c r="B19" s="3" t="s">
        <v>67</v>
      </c>
      <c r="C19" s="3">
        <v>200</v>
      </c>
      <c r="D19" s="3" t="s">
        <v>68</v>
      </c>
      <c r="M19" s="37"/>
    </row>
  </sheetData>
  <mergeCells count="2">
    <mergeCell ref="B2:C2"/>
    <mergeCell ref="B10:C10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15"/>
  <sheetViews>
    <sheetView showGridLines="0" workbookViewId="0"/>
  </sheetViews>
  <sheetFormatPr defaultRowHeight="15" x14ac:dyDescent="0.25"/>
  <cols>
    <col min="1" max="1" width="25" customWidth="1"/>
  </cols>
  <sheetData>
    <row r="1" spans="1:1" x14ac:dyDescent="0.25">
      <c r="A1" t="s">
        <v>10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26</v>
      </c>
    </row>
    <row r="15" spans="1:1" x14ac:dyDescent="0.25">
      <c r="A15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Purchase Entry</vt:lpstr>
      <vt:lpstr>Purchase Log</vt:lpstr>
      <vt:lpstr>Stock</vt:lpstr>
      <vt:lpstr>Sales Entry</vt:lpstr>
      <vt:lpstr>Sales Log</vt:lpstr>
      <vt:lpstr>Daily Summary</vt:lpstr>
      <vt:lpstr>Dashboard</vt:lpstr>
      <vt:lpstr>Cash Hisab</vt:lpstr>
      <vt:lpstr>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tajul islam</cp:lastModifiedBy>
  <cp:lastPrinted>2026-08-28T19:18:57Z</cp:lastPrinted>
  <dcterms:created xsi:type="dcterms:W3CDTF">2026-08-13T14:56:59Z</dcterms:created>
  <dcterms:modified xsi:type="dcterms:W3CDTF">2026-09-06T20:25:05Z</dcterms:modified>
</cp:coreProperties>
</file>